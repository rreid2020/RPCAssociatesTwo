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isk &amp; Control Matrix" sheetId="2" state="visible" r:id="rId4"/>
    <sheet name="Control Testing Tracker" sheetId="3" state="visible" r:id="rId5"/>
    <sheet name="Deficiency &amp; Remediation Log" sheetId="4" state="visible" r:id="rId6"/>
    <sheet name="Process Narrativ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<sst xmlns="http://schemas.openxmlformats.org/spreadsheetml/2006/main" count="324" uniqueCount="249">
  <si>
    <t xml:space="preserve">ICFM / ICFR Template — Financial Close &amp; Reporting</t>
  </si>
  <si>
    <t xml:space="preserve">Internal Controls over Financial Management &amp; Reporting</t>
  </si>
  <si>
    <t xml:space="preserve">How to use this workbook</t>
  </si>
  <si>
    <t xml:space="preserve">This workbook is a starting-point framework for documenting and testing internal controls over financial reporting (ICFR), consistent with the COSO 2013 Internal Control – Integrated Framework and the approach commonly used for SOX Section 404 compliance. It is a template, not legal, audit, or compliance advice — adapt every field to your organization's actual processes, systems, and risk profile before relying on it.</t>
  </si>
  <si>
    <t xml:space="preserve">Tabs in this workbook:</t>
  </si>
  <si>
    <t xml:space="preserve">1. Risk &amp; Control Matrix (RCM) — maps key financial statement risks to the controls that address them, including control owner, type, nature, and frequency.</t>
  </si>
  <si>
    <t xml:space="preserve">2. Control Testing Tracker — documents walkthroughs and operating-effectiveness testing performed for each key control, sample sizes, and conclusions.</t>
  </si>
  <si>
    <t xml:space="preserve">3. Deficiency &amp; Remediation Log — logs control gaps identified through testing, rates severity, and tracks remediation to closure.</t>
  </si>
  <si>
    <t xml:space="preserve">4. Process Narratives — a structured, one-row-per-process write-up of how each in-scope financial process actually operates end to end.</t>
  </si>
  <si>
    <t xml:space="preserve">Color key:</t>
  </si>
  <si>
    <t xml:space="preserve">Yellow-shaded rows are illustrative examples for this industry — replace or extend them with your own facts. Blank rows below each example are ready for your data.</t>
  </si>
  <si>
    <t xml:space="preserve">Example rows below are illustrative starting points based on common risks and leading-practice controls for this process. They are not exhaustive and are not a substitute for a formal risk assessment of your organization's actual systems, materiality, and fraud risk.</t>
  </si>
  <si>
    <t xml:space="preserve">Suggested severity definitions (COSO / AS 2201):</t>
  </si>
  <si>
    <t xml:space="preserve">• Control Deficiency — a control is designed or operating in a way that does not allow management/employees to prevent or detect misstatements on a timely basis.</t>
  </si>
  <si>
    <t xml:space="preserve">• Significant Deficiency — a deficiency, or combination of deficiencies, less severe than a material weakness, yet important enough to merit attention by those responsible for oversight of financial reporting.</t>
  </si>
  <si>
    <t xml:space="preserve">• Material Weakness — a deficiency, or combination of deficiencies, such that there is a reasonable possibility that a material misstatement of the financial statements will not be prevented or detected on a timely basis.</t>
  </si>
  <si>
    <t xml:space="preserve">Process</t>
  </si>
  <si>
    <t xml:space="preserve">Sub-Process</t>
  </si>
  <si>
    <t xml:space="preserve">Risk ID</t>
  </si>
  <si>
    <t xml:space="preserve">Risk Description</t>
  </si>
  <si>
    <t xml:space="preserve">Financial Statement Assertion(s)</t>
  </si>
  <si>
    <t xml:space="preserve">COSO Component</t>
  </si>
  <si>
    <t xml:space="preserve">Control ID</t>
  </si>
  <si>
    <t xml:space="preserve">Control Description</t>
  </si>
  <si>
    <t xml:space="preserve">Control Type
(Preventive/Detective)</t>
  </si>
  <si>
    <t xml:space="preserve">Control Nature
(Manual/Automated/IT-Dependent)</t>
  </si>
  <si>
    <t xml:space="preserve">Frequency</t>
  </si>
  <si>
    <t xml:space="preserve">Control Owner</t>
  </si>
  <si>
    <t xml:space="preserve">Key Control
(Y/N)</t>
  </si>
  <si>
    <t xml:space="preserve">Evidence / Documentation</t>
  </si>
  <si>
    <t xml:space="preserve">Systems / Applications</t>
  </si>
  <si>
    <t xml:space="preserve">Close Management</t>
  </si>
  <si>
    <t xml:space="preserve">Close Calendar &amp; Task Tracking</t>
  </si>
  <si>
    <t xml:space="preserve">FC-R01</t>
  </si>
  <si>
    <t xml:space="preserve">Close tasks are missed, performed out of sequence, or completed without evidence, delaying or misstating reporting</t>
  </si>
  <si>
    <t xml:space="preserve">Completeness</t>
  </si>
  <si>
    <t xml:space="preserve">Monitoring Activities</t>
  </si>
  <si>
    <t xml:space="preserve">FC-C01</t>
  </si>
  <si>
    <t xml:space="preserve">A documented close calendar assigns each close task an owner and due date; the Controller reviews close-task completion status daily during the close</t>
  </si>
  <si>
    <t xml:space="preserve">Detective</t>
  </si>
  <si>
    <t xml:space="preserve">Manual</t>
  </si>
  <si>
    <t xml:space="preserve">Monthly</t>
  </si>
  <si>
    <t xml:space="preserve">Controller</t>
  </si>
  <si>
    <t xml:space="preserve">Y</t>
  </si>
  <si>
    <t xml:space="preserve">Close calendar/checklist with sign-offs</t>
  </si>
  <si>
    <t xml:space="preserve">Close Management Tool</t>
  </si>
  <si>
    <t xml:space="preserve">Journal Entries</t>
  </si>
  <si>
    <t xml:space="preserve">Manual Journal Entry Review</t>
  </si>
  <si>
    <t xml:space="preserve">FC-R02</t>
  </si>
  <si>
    <t xml:space="preserve">Unauthorized or erroneous manual journal entries misstate the financial statements</t>
  </si>
  <si>
    <t xml:space="preserve">Accuracy/Valuation</t>
  </si>
  <si>
    <t xml:space="preserve">Control Activities</t>
  </si>
  <si>
    <t xml:space="preserve">FC-C02</t>
  </si>
  <si>
    <t xml:space="preserve">Manual journal entries above the materiality threshold require independent review and approval before posting, supported by documented rationale and source data</t>
  </si>
  <si>
    <t xml:space="preserve">Preventive</t>
  </si>
  <si>
    <t xml:space="preserve">Per Transaction</t>
  </si>
  <si>
    <t xml:space="preserve">Approved JE support package</t>
  </si>
  <si>
    <t xml:space="preserve">ERP General Ledger</t>
  </si>
  <si>
    <t xml:space="preserve">System-Generated / Recurring Entries</t>
  </si>
  <si>
    <t xml:space="preserve">FC-R03</t>
  </si>
  <si>
    <t xml:space="preserve">Recurring or system-generated journal entries (e.g., allocations, amortization) are not reviewed for continued accuracy</t>
  </si>
  <si>
    <t xml:space="preserve">Accuracy</t>
  </si>
  <si>
    <t xml:space="preserve">FC-C03</t>
  </si>
  <si>
    <t xml:space="preserve">Recurring journal entry templates are reviewed quarterly for continued relevance and accuracy of the underlying calculation</t>
  </si>
  <si>
    <t xml:space="preserve">Quarterly</t>
  </si>
  <si>
    <t xml:space="preserve">Accounting Manager</t>
  </si>
  <si>
    <t xml:space="preserve">N</t>
  </si>
  <si>
    <t xml:space="preserve">Recurring JE review workpaper</t>
  </si>
  <si>
    <t xml:space="preserve">Account Reconciliations</t>
  </si>
  <si>
    <t xml:space="preserve">Balance Sheet Reconciliations</t>
  </si>
  <si>
    <t xml:space="preserve">FC-R04</t>
  </si>
  <si>
    <t xml:space="preserve">Balance sheet accounts contain unreconciled or aged errors that misstate reported balances</t>
  </si>
  <si>
    <t xml:space="preserve">Existence/Valuation</t>
  </si>
  <si>
    <t xml:space="preserve">FC-C04</t>
  </si>
  <si>
    <t xml:space="preserve">All balance sheet accounts are reconciled monthly with supporting documentation; reconciliations are reviewed and approved by a second individual within a defined number of business days after close</t>
  </si>
  <si>
    <t xml:space="preserve">Signed reconciliation with support</t>
  </si>
  <si>
    <t xml:space="preserve">ERP General Ledger, Reconciliation Tool</t>
  </si>
  <si>
    <t xml:space="preserve">Consolidation</t>
  </si>
  <si>
    <t xml:space="preserve">Intercompany Eliminations</t>
  </si>
  <si>
    <t xml:space="preserve">FC-R05</t>
  </si>
  <si>
    <t xml:space="preserve">Intercompany balances and transactions do not eliminate in consolidation, misstating consolidated results</t>
  </si>
  <si>
    <t xml:space="preserve">Accuracy/Completeness</t>
  </si>
  <si>
    <t xml:space="preserve">FC-C05</t>
  </si>
  <si>
    <t xml:space="preserve">Intercompany balances are confirmed and reconciled between entities monthly before consolidation; out-of-balance amounts are investigated and resolved prior to finalizing consolidated results</t>
  </si>
  <si>
    <t xml:space="preserve">Corporate Controller</t>
  </si>
  <si>
    <t xml:space="preserve">Intercompany reconciliation workpaper</t>
  </si>
  <si>
    <t xml:space="preserve">Consolidation System, ERP</t>
  </si>
  <si>
    <t xml:space="preserve">Analytical Review</t>
  </si>
  <si>
    <t xml:space="preserve">Flux / Variance Analysis</t>
  </si>
  <si>
    <t xml:space="preserve">FC-R06</t>
  </si>
  <si>
    <t xml:space="preserve">Significant unexpected fluctuations in account balances are not identified or explained, allowing misstatements to go undetected</t>
  </si>
  <si>
    <t xml:space="preserve">FC-C06</t>
  </si>
  <si>
    <t xml:space="preserve">A flux analysis comparing actual results to budget and prior period is performed for all significant financial statement line items; variances beyond threshold are investigated and explained before the close is finalized</t>
  </si>
  <si>
    <t xml:space="preserve">FP&amp;A Manager / Controller</t>
  </si>
  <si>
    <t xml:space="preserve">Flux analysis workpaper with explanations</t>
  </si>
  <si>
    <t xml:space="preserve">ERP, FP&amp;A/BI Tool</t>
  </si>
  <si>
    <t xml:space="preserve">Estimates &amp; Judgments</t>
  </si>
  <si>
    <t xml:space="preserve">Significant Accounting Estimates</t>
  </si>
  <si>
    <t xml:space="preserve">FC-R07</t>
  </si>
  <si>
    <t xml:space="preserve">Significant accounting estimates (e.g., reserves, useful lives, contingencies) are not supported or reviewed, misstating the financial statements</t>
  </si>
  <si>
    <t xml:space="preserve">Valuation</t>
  </si>
  <si>
    <t xml:space="preserve">FC-C07</t>
  </si>
  <si>
    <t xml:space="preserve">Key estimates are documented with methodology and assumptions each period; estimates are independently reviewed and approved by the Controller/CFO before being recorded</t>
  </si>
  <si>
    <t xml:space="preserve">Preventive/Detective</t>
  </si>
  <si>
    <t xml:space="preserve">CFO</t>
  </si>
  <si>
    <t xml:space="preserve">Estimate memo with approval</t>
  </si>
  <si>
    <t xml:space="preserve">GL, Supporting Schedules</t>
  </si>
  <si>
    <t xml:space="preserve">Financial Statement Preparation</t>
  </si>
  <si>
    <t xml:space="preserve">Statement Preparation &amp; Disclosure Checklist</t>
  </si>
  <si>
    <t xml:space="preserve">FC-R08</t>
  </si>
  <si>
    <t xml:space="preserve">Financial statements or required disclosures are incomplete or misclassified</t>
  </si>
  <si>
    <t xml:space="preserve">Presentation &amp; Disclosure</t>
  </si>
  <si>
    <t xml:space="preserve">FC-C08</t>
  </si>
  <si>
    <t xml:space="preserve">Financial statements are prepared using a standardized template and a disclosure checklist covering applicable GAAP requirements; a second reviewer completes the checklist and confirms completeness before issuance</t>
  </si>
  <si>
    <t xml:space="preserve">Quarterly / Annual</t>
  </si>
  <si>
    <t xml:space="preserve">Completed disclosure checklist; reviewed financial statements</t>
  </si>
  <si>
    <t xml:space="preserve">Financial Reporting Tool</t>
  </si>
  <si>
    <t xml:space="preserve">Management Review &amp; Approval</t>
  </si>
  <si>
    <t xml:space="preserve">FC-R09</t>
  </si>
  <si>
    <t xml:space="preserve">Financial statements are issued without appropriate management review, allowing errors to reach external stakeholders</t>
  </si>
  <si>
    <t xml:space="preserve">Existence/Accuracy</t>
  </si>
  <si>
    <t xml:space="preserve">FC-C09</t>
  </si>
  <si>
    <t xml:space="preserve">Draft financial statements are reviewed by the Controller and approved by the CFO before external distribution or filing</t>
  </si>
  <si>
    <t xml:space="preserve">CFO sign-off on final statements</t>
  </si>
  <si>
    <t xml:space="preserve">Segregation of Duties</t>
  </si>
  <si>
    <t xml:space="preserve">Close &amp; Reporting Role Access</t>
  </si>
  <si>
    <t xml:space="preserve">FC-R10</t>
  </si>
  <si>
    <t xml:space="preserve">A single individual can prepare and post a journal entry, perform the related reconciliation, and approve the financial statements, enabling concealment of error or fraud</t>
  </si>
  <si>
    <t xml:space="preserve">Existence/Occurrence</t>
  </si>
  <si>
    <t xml:space="preserve">FC-C10</t>
  </si>
  <si>
    <t xml:space="preserve">ERP role-based access enforces segregation between journal entry preparation/posting, account reconciliation preparation, and financial statement approval; access is reviewed quarterly</t>
  </si>
  <si>
    <t xml:space="preserve">IT-Dependent Manual</t>
  </si>
  <si>
    <t xml:space="preserve">IT Security Manager / CFO</t>
  </si>
  <si>
    <t xml:space="preserve">SoD access review report</t>
  </si>
  <si>
    <t xml:space="preserve">ERP Role/Access Configuration</t>
  </si>
  <si>
    <t xml:space="preserve">Total Controls Documented:</t>
  </si>
  <si>
    <t xml:space="preserve">Key Controls (Y):</t>
  </si>
  <si>
    <t xml:space="preserve">Test Objective</t>
  </si>
  <si>
    <t xml:space="preserve">Test Procedure</t>
  </si>
  <si>
    <t xml:space="preserve">Sample Size / Methodology</t>
  </si>
  <si>
    <t xml:space="preserve">Testing Period</t>
  </si>
  <si>
    <t xml:space="preserve">Tester</t>
  </si>
  <si>
    <t xml:space="preserve">Test Date</t>
  </si>
  <si>
    <t xml:space="preserve"># Sampled</t>
  </si>
  <si>
    <t xml:space="preserve"># Exceptions</t>
  </si>
  <si>
    <t xml:space="preserve">Exception Description</t>
  </si>
  <si>
    <t xml:space="preserve">Conclusion</t>
  </si>
  <si>
    <t xml:space="preserve">Reviewer</t>
  </si>
  <si>
    <t xml:space="preserve">Review Date</t>
  </si>
  <si>
    <t xml:space="preserve">Manual journal entry review and approval</t>
  </si>
  <si>
    <t xml:space="preserve">Confirm manual JEs above threshold are independently reviewed and approved before posting</t>
  </si>
  <si>
    <t xml:space="preserve">Select a sample of manual journal entries above the materiality threshold; inspect for evidence of independent review/approval and supporting documentation</t>
  </si>
  <si>
    <t xml:space="preserve">Statistical, 30 entries</t>
  </si>
  <si>
    <t xml:space="preserve">Q2 2026</t>
  </si>
  <si>
    <t xml:space="preserve">J. Alvarez</t>
  </si>
  <si>
    <t xml:space="preserve">2026-07-21</t>
  </si>
  <si>
    <t xml:space="preserve">Effective</t>
  </si>
  <si>
    <t xml:space="preserve">2026-07-24</t>
  </si>
  <si>
    <t xml:space="preserve">Balance sheet account reconciliation review</t>
  </si>
  <si>
    <t xml:space="preserve">Confirm balance sheet accounts are reconciled monthly and reviewed within SLA</t>
  </si>
  <si>
    <t xml:space="preserve">Select a sample of balance sheet accounts across 2 months; inspect reconciliations for supporting documentation and evidence of timely second-level review</t>
  </si>
  <si>
    <t xml:space="preserve">Judgmental, 20 account-months</t>
  </si>
  <si>
    <t xml:space="preserve">R. Patel</t>
  </si>
  <si>
    <t xml:space="preserve">2026-07-22</t>
  </si>
  <si>
    <t xml:space="preserve">2026-07-25</t>
  </si>
  <si>
    <t xml:space="preserve">Flux analysis completeness and review</t>
  </si>
  <si>
    <t xml:space="preserve">Confirm flux analysis is performed for all significant line items and variances are explained</t>
  </si>
  <si>
    <t xml:space="preserve">Recompute the flux analysis for a sample of 2 months against the population of significant line items and inspect variance explanations for reasonableness</t>
  </si>
  <si>
    <t xml:space="preserve">2 of 12 months</t>
  </si>
  <si>
    <t xml:space="preserve">2026-07-23</t>
  </si>
  <si>
    <t xml:space="preserve">FP&amp;A Manager</t>
  </si>
  <si>
    <t xml:space="preserve">2026-07-26</t>
  </si>
  <si>
    <t xml:space="preserve">Significant estimate documentation and approval</t>
  </si>
  <si>
    <t xml:space="preserve">Confirm key estimates are documented with methodology and approved by the CFO</t>
  </si>
  <si>
    <t xml:space="preserve">Select a sample of significant estimates recorded in the period (e.g., bonus accrual, warranty reserve); inspect the estimate memo and CFO approval</t>
  </si>
  <si>
    <t xml:space="preserve">Judgmental, 5 estimates</t>
  </si>
  <si>
    <t xml:space="preserve">2026-07-27</t>
  </si>
  <si>
    <t xml:space="preserve">Disclosure checklist completion</t>
  </si>
  <si>
    <t xml:space="preserve">Confirm the disclosure checklist is completed and reviewed before financial statements are issued</t>
  </si>
  <si>
    <t xml:space="preserve">Obtain the completed disclosure checklist for the period; recompute agreement of checklist items to the drafted financial statements and inspect second-reviewer sign-off</t>
  </si>
  <si>
    <t xml:space="preserve">Full population, 1 quarterly cycle</t>
  </si>
  <si>
    <t xml:space="preserve">2026-07-28</t>
  </si>
  <si>
    <t xml:space="preserve">Controls Tested:</t>
  </si>
  <si>
    <t xml:space="preserve">Exceptions Noted:</t>
  </si>
  <si>
    <t xml:space="preserve">Controls Concluded Ineffective:</t>
  </si>
  <si>
    <t xml:space="preserve">Deficiency ID</t>
  </si>
  <si>
    <t xml:space="preserve">Related Control ID</t>
  </si>
  <si>
    <t xml:space="preserve">Date Identified</t>
  </si>
  <si>
    <t xml:space="preserve">Deficiency Description</t>
  </si>
  <si>
    <t xml:space="preserve">Root Cause</t>
  </si>
  <si>
    <t xml:space="preserve">Severity</t>
  </si>
  <si>
    <t xml:space="preserve">Financial Statement Impact</t>
  </si>
  <si>
    <t xml:space="preserve">Compensating Controls</t>
  </si>
  <si>
    <t xml:space="preserve">Remediation Plan</t>
  </si>
  <si>
    <t xml:space="preserve">Remediation Owner</t>
  </si>
  <si>
    <t xml:space="preserve">Target Completion Date</t>
  </si>
  <si>
    <t xml:space="preserve">Status</t>
  </si>
  <si>
    <t xml:space="preserve">Retest Date</t>
  </si>
  <si>
    <t xml:space="preserve">Retest Result</t>
  </si>
  <si>
    <t xml:space="preserve">FC-D01</t>
  </si>
  <si>
    <t xml:space="preserve">2026-07-10</t>
  </si>
  <si>
    <t xml:space="preserve">The prepaid insurance reconciliation for May was not reviewed by a second individual until 15 business days after close, exceeding the 10-business-day policy</t>
  </si>
  <si>
    <t xml:space="preserve">The designated reviewer was reassigned to a special project during close week and no backup reviewer was designated</t>
  </si>
  <si>
    <t xml:space="preserve">Control Deficiency</t>
  </si>
  <si>
    <t xml:space="preserve">Low - reconciliation was ultimately accurate and reviewed, just outside the SLA</t>
  </si>
  <si>
    <t xml:space="preserve">Quarterly account reconciliation completeness report reviewed by the Controller</t>
  </si>
  <si>
    <t xml:space="preserve">Designate a backup reviewer for each reconciliation owner in the close calendar tool</t>
  </si>
  <si>
    <t xml:space="preserve">2026-08-15</t>
  </si>
  <si>
    <t xml:space="preserve">Remediated</t>
  </si>
  <si>
    <t xml:space="preserve">2026-08-05</t>
  </si>
  <si>
    <t xml:space="preserve">Effective - backup reviewers assigned and subsequent reconciliations completed within SLA</t>
  </si>
  <si>
    <t xml:space="preserve">FC-D02</t>
  </si>
  <si>
    <t xml:space="preserve">2026-05-15</t>
  </si>
  <si>
    <t xml:space="preserve">One accountant had access to both prepare/post journal entries and perform the reconciliation of the same balance sheet account</t>
  </si>
  <si>
    <t xml:space="preserve">Role definitions in the ERP were not updated after a team restructuring</t>
  </si>
  <si>
    <t xml:space="preserve">Significant Deficiency</t>
  </si>
  <si>
    <t xml:space="preserve">Moderate - self-review risk existed for approximately one quarter across several accounts</t>
  </si>
  <si>
    <t xml:space="preserve">Controller's monthly flux review would likely detect a material misstatement</t>
  </si>
  <si>
    <t xml:space="preserve">Redefine ERP roles to separate JE posting from reconciliation preparation for the same account, and add compensating independent spot-checks until the role redesign is complete</t>
  </si>
  <si>
    <t xml:space="preserve">2026-08-31</t>
  </si>
  <si>
    <t xml:space="preserve">In Progress</t>
  </si>
  <si>
    <t xml:space="preserve">2026-09-15</t>
  </si>
  <si>
    <t xml:space="preserve">Open Items:</t>
  </si>
  <si>
    <t xml:space="preserve">Material Weaknesses Logged:</t>
  </si>
  <si>
    <t xml:space="preserve">Process Name</t>
  </si>
  <si>
    <t xml:space="preserve">Process Owner</t>
  </si>
  <si>
    <t xml:space="preserve">Process Objective</t>
  </si>
  <si>
    <t xml:space="preserve">Process Description (Step-by-Step)</t>
  </si>
  <si>
    <t xml:space="preserve">Systems / Applications Used</t>
  </si>
  <si>
    <t xml:space="preserve">Key Inputs</t>
  </si>
  <si>
    <t xml:space="preserve">Key Outputs</t>
  </si>
  <si>
    <t xml:space="preserve">Related Control ID(s)</t>
  </si>
  <si>
    <t xml:space="preserve">Risks Addressed</t>
  </si>
  <si>
    <t xml:space="preserve">Segregation of Duties Considerations</t>
  </si>
  <si>
    <t xml:space="preserve">Related Policies / Procedures</t>
  </si>
  <si>
    <t xml:space="preserve">Last Reviewed Date</t>
  </si>
  <si>
    <t xml:space="preserve">Reviewed By</t>
  </si>
  <si>
    <t xml:space="preserve">Financial Close &amp; Reporting</t>
  </si>
  <si>
    <t xml:space="preserve">Controller / CFO</t>
  </si>
  <si>
    <t xml:space="preserve">Ensure the general ledger is complete, accurate, and supported, and financial statements are prepared and reviewed in accordance with GAAP and company policy</t>
  </si>
  <si>
    <t xml:space="preserve">1) Close calendar tasks assigned and tracked; 2) Sub-ledgers close and are reconciled to the GL; 3) Manual JEs prepared, reviewed, and posted; 4) Balance sheet accounts reconciled; 5) Intercompany balances eliminated; 6) Flux/analytical review performed; 7) Significant estimates documented and approved; 8) Financial statements drafted, disclosure checklist completed, and reviewed; 9) Statements approved by CFO</t>
  </si>
  <si>
    <t xml:space="preserve">ERP General Ledger, Close Management Tool, Consolidation System, FP&amp;A/BI Tool</t>
  </si>
  <si>
    <t xml:space="preserve">Sub-ledger balances, JE support, prior-period actuals, budget</t>
  </si>
  <si>
    <t xml:space="preserve">Trial balance, financial statements, close checklist, disclosure checklist</t>
  </si>
  <si>
    <t xml:space="preserve">FC-C01 through FC-C09</t>
  </si>
  <si>
    <t xml:space="preserve">Misstatement due to error or override of controls; untimely or inaccurate reporting; incomplete disclosures</t>
  </si>
  <si>
    <t xml:space="preserve">JE preparation and approval, and reconciliation preparation and review, are segregated across individuals</t>
  </si>
  <si>
    <t xml:space="preserve">Close Calendar; Journal Entry Policy; Account Reconciliation Policy; Disclosure Checklist</t>
  </si>
  <si>
    <t xml:space="preserve">2026-06-01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</si>
</sst>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2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estingTracker" displayName="ControlTestingTracker" ref="A1:N6" headerRowCount="1" totalsRowCount="0" totalsRowShown="0">
  <autoFilter ref="A1:N6"/>
  <tableColumns count="14">
    <tableColumn id="1" name="Control ID"/>
    <tableColumn id="2" name="Control Description"/>
    <tableColumn id="3" name="Test Objective"/>
    <tableColumn id="4" name="Test Procedure"/>
    <tableColumn id="5" name="Sample Size / Methodology"/>
    <tableColumn id="6" name="Testing Period"/>
    <tableColumn id="7" name="Tester"/>
    <tableColumn id="8" name="Test Date"/>
    <tableColumn id="9" name="# Sampled"/>
    <tableColumn id="10" name="# Exceptions"/>
    <tableColumn id="11" name="Exception Description"/>
    <tableColumn id="12" name="Conclusion"/>
    <tableColumn id="13" name="Reviewer"/>
    <tableColumn id="14" name="Review Date"/>
  </tableColumns>
</table>
</file>

<file path=xl/tables/table2.xml><?xml version="1.0" encoding="utf-8"?>
<table xmlns="http://schemas.openxmlformats.org/spreadsheetml/2006/main" id="2" name="DeficiencyLog" displayName="DeficiencyLog" ref="A1:N3" headerRowCount="1" totalsRowCount="0" totalsRowShown="0">
  <autoFilter ref="A1:N3"/>
  <tableColumns count="14">
    <tableColumn id="1" name="Deficiency ID"/>
    <tableColumn id="2" name="Related Control ID"/>
    <tableColumn id="3" name="Date Identified"/>
    <tableColumn id="4" name="Deficiency Description"/>
    <tableColumn id="5" name="Root Cause"/>
    <tableColumn id="6" name="Severity"/>
    <tableColumn id="7" name="Financial Statement Impact"/>
    <tableColumn id="8" name="Compensating Controls"/>
    <tableColumn id="9" name="Remediation Plan"/>
    <tableColumn id="10" name="Remediation Owner"/>
    <tableColumn id="11" name="Target Completion Date"/>
    <tableColumn id="12" name="Status"/>
    <tableColumn id="13" name="Retest Date"/>
    <tableColumn id="14" name="Retest Result"/>
  </tableColumns>
</table>
</file>

<file path=xl/tables/table3.xml><?xml version="1.0" encoding="utf-8"?>
<table xmlns="http://schemas.openxmlformats.org/spreadsheetml/2006/main" id="3" name="ProcessNarratives" displayName="ProcessNarratives" ref="A1:M2" headerRowCount="1" totalsRowCount="0" totalsRowShown="0">
  <autoFilter ref="A1:M2"/>
  <tableColumns count="13">
    <tableColumn id="1" name="Process Name"/>
    <tableColumn id="2" name="Process Owner"/>
    <tableColumn id="3" name="Process Objective"/>
    <tableColumn id="4" name="Process Description (Step-by-Step)"/>
    <tableColumn id="5" name="Systems / Applications Used"/>
    <tableColumn id="6" name="Key Inputs"/>
    <tableColumn id="7" name="Key Outputs"/>
    <tableColumn id="8" name="Related Control ID(s)"/>
    <tableColumn id="9" name="Risks Addressed"/>
    <tableColumn id="10" name="Segregation of Duties Considerations"/>
    <tableColumn id="11" name="Related Policies / Procedures"/>
    <tableColumn id="12" name="Last Reviewed Date"/>
    <tableColumn id="13" name="Reviewed By"/>
  </tableColumns>
</table>
</file>

<file path=xl/tables/table4.xml><?xml version="1.0" encoding="utf-8"?>
<table xmlns="http://schemas.openxmlformats.org/spreadsheetml/2006/main" id="4" name="RiskControlMatrix" displayName="RiskControlMatrix" ref="A1:O11" headerRowCount="1" totalsRowCount="0" totalsRowShown="0">
  <autoFilter ref="A1:O11"/>
  <tableColumns count="15">
    <tableColumn id="1" name="Process"/>
    <tableColumn id="2" name="Sub-Process"/>
    <tableColumn id="3" name="Risk ID"/>
    <tableColumn id="4" name="Risk Description"/>
    <tableColumn id="5" name="Financial Statement Assertion(s)"/>
    <tableColumn id="6" name="COSO Component"/>
    <tableColumn id="7" name="Control ID"/>
    <tableColumn id="8" name="Control Description"/>
    <tableColumn id="9" name="Control Type&#10;(Preventive/Detective)"/>
    <tableColumn id="10" name="Control Nature&#10;(Manual/Automated/IT-Dependent)"/>
    <tableColumn id="11" name="Frequency"/>
    <tableColumn id="12" name="Control Owner"/>
    <tableColumn id="13" name="Key Control&#10;(Y/N)"/>
    <tableColumn id="14" name="Evidence / Documentation"/>
    <tableColumn id="15" name="Systems / Application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45" hidden="false" customHeight="true" outlineLevel="0" collapsed="false">
      <c r="B6" s="4" t="s">
        <v>3</v>
      </c>
    </row>
    <row r="7" customFormat="false" ht="15" hidden="false" customHeight="false" outlineLevel="0" collapsed="false">
      <c r="B7" s="4"/>
    </row>
    <row r="8" customFormat="false" ht="15" hidden="false" customHeight="false" outlineLevel="0" collapsed="false">
      <c r="B8" s="3" t="s">
        <v>4</v>
      </c>
    </row>
    <row r="9" customFormat="false" ht="45" hidden="false" customHeight="true" outlineLevel="0" collapsed="false">
      <c r="B9" s="4" t="s">
        <v>5</v>
      </c>
    </row>
    <row r="10" customFormat="false" ht="45" hidden="false" customHeight="true" outlineLevel="0" collapsed="false">
      <c r="B10" s="4" t="s">
        <v>6</v>
      </c>
    </row>
    <row r="11" customFormat="false" ht="45" hidden="false" customHeight="true" outlineLevel="0" collapsed="false">
      <c r="B11" s="4" t="s">
        <v>7</v>
      </c>
    </row>
    <row r="12" customFormat="false" ht="45" hidden="false" customHeight="true" outlineLevel="0" collapsed="false">
      <c r="B12" s="4" t="s">
        <v>8</v>
      </c>
    </row>
    <row r="13" customFormat="false" ht="15" hidden="false" customHeight="false" outlineLevel="0" collapsed="false">
      <c r="B13" s="4"/>
    </row>
    <row r="14" customFormat="false" ht="15" hidden="false" customHeight="false" outlineLevel="0" collapsed="false">
      <c r="B14" s="3" t="s">
        <v>9</v>
      </c>
    </row>
    <row r="15" customFormat="false" ht="45" hidden="false" customHeight="true" outlineLevel="0" collapsed="false">
      <c r="B15" s="4" t="s">
        <v>10</v>
      </c>
    </row>
    <row r="16" customFormat="false" ht="15" hidden="false" customHeight="false" outlineLevel="0" collapsed="false">
      <c r="B16" s="4"/>
    </row>
    <row r="17" customFormat="false" ht="45" hidden="false" customHeight="true" outlineLevel="0" collapsed="false">
      <c r="B17" s="4" t="s">
        <v>11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12</v>
      </c>
    </row>
    <row r="20" customFormat="false" ht="23.85" hidden="false" customHeight="false" outlineLevel="0" collapsed="false">
      <c r="B20" s="4" t="s">
        <v>13</v>
      </c>
    </row>
    <row r="21" customFormat="false" ht="23.85" hidden="false" customHeight="false" outlineLevel="0" collapsed="false">
      <c r="B21" s="4" t="s">
        <v>14</v>
      </c>
    </row>
    <row r="22" customFormat="false" ht="23.85" hidden="false" customHeight="false" outlineLevel="0" collapsed="false">
      <c r="B22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9"/>
    <col collapsed="false" customWidth="true" hidden="false" outlineLevel="0" max="4" min="4" style="0" width="3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42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20"/>
    <col collapsed="false" customWidth="true" hidden="false" outlineLevel="0" max="13" min="13" style="0" width="10"/>
    <col collapsed="false" customWidth="true" hidden="false" outlineLevel="0" max="14" min="14" style="0" width="26"/>
    <col collapsed="false" customWidth="true" hidden="false" outlineLevel="0" max="15" min="15" style="0" width="20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</row>
    <row r="2" customFormat="false" ht="35.05" hidden="false" customHeight="false" outlineLevel="0" collapsed="false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38</v>
      </c>
      <c r="I2" s="6" t="s">
        <v>39</v>
      </c>
      <c r="J2" s="6" t="s">
        <v>40</v>
      </c>
      <c r="K2" s="6" t="s">
        <v>41</v>
      </c>
      <c r="L2" s="6" t="s">
        <v>42</v>
      </c>
      <c r="M2" s="6" t="s">
        <v>43</v>
      </c>
      <c r="N2" s="6" t="s">
        <v>44</v>
      </c>
      <c r="O2" s="6" t="s">
        <v>45</v>
      </c>
    </row>
    <row r="3" customFormat="false" ht="46.25" hidden="false" customHeight="false" outlineLevel="0" collapsed="false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  <c r="I3" s="6" t="s">
        <v>54</v>
      </c>
      <c r="J3" s="6" t="s">
        <v>40</v>
      </c>
      <c r="K3" s="6" t="s">
        <v>55</v>
      </c>
      <c r="L3" s="6" t="s">
        <v>42</v>
      </c>
      <c r="M3" s="6" t="s">
        <v>43</v>
      </c>
      <c r="N3" s="6" t="s">
        <v>56</v>
      </c>
      <c r="O3" s="6" t="s">
        <v>57</v>
      </c>
    </row>
    <row r="4" customFormat="false" ht="35.05" hidden="false" customHeight="false" outlineLevel="0" collapsed="false">
      <c r="A4" s="6" t="s">
        <v>46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51</v>
      </c>
      <c r="G4" s="6" t="s">
        <v>62</v>
      </c>
      <c r="H4" s="6" t="s">
        <v>63</v>
      </c>
      <c r="I4" s="6" t="s">
        <v>39</v>
      </c>
      <c r="J4" s="6" t="s">
        <v>40</v>
      </c>
      <c r="K4" s="6" t="s">
        <v>64</v>
      </c>
      <c r="L4" s="6" t="s">
        <v>65</v>
      </c>
      <c r="M4" s="6" t="s">
        <v>66</v>
      </c>
      <c r="N4" s="6" t="s">
        <v>67</v>
      </c>
      <c r="O4" s="6" t="s">
        <v>57</v>
      </c>
    </row>
    <row r="5" customFormat="false" ht="57.45" hidden="false" customHeight="false" outlineLevel="0" collapsed="false">
      <c r="A5" s="6" t="s">
        <v>68</v>
      </c>
      <c r="B5" s="6" t="s">
        <v>69</v>
      </c>
      <c r="C5" s="6" t="s">
        <v>70</v>
      </c>
      <c r="D5" s="6" t="s">
        <v>71</v>
      </c>
      <c r="E5" s="6" t="s">
        <v>72</v>
      </c>
      <c r="F5" s="6" t="s">
        <v>36</v>
      </c>
      <c r="G5" s="6" t="s">
        <v>73</v>
      </c>
      <c r="H5" s="6" t="s">
        <v>74</v>
      </c>
      <c r="I5" s="6" t="s">
        <v>39</v>
      </c>
      <c r="J5" s="6" t="s">
        <v>40</v>
      </c>
      <c r="K5" s="6" t="s">
        <v>41</v>
      </c>
      <c r="L5" s="6" t="s">
        <v>65</v>
      </c>
      <c r="M5" s="6" t="s">
        <v>43</v>
      </c>
      <c r="N5" s="6" t="s">
        <v>75</v>
      </c>
      <c r="O5" s="6" t="s">
        <v>76</v>
      </c>
    </row>
    <row r="6" customFormat="false" ht="57.45" hidden="false" customHeight="false" outlineLevel="0" collapsed="false">
      <c r="A6" s="6" t="s">
        <v>77</v>
      </c>
      <c r="B6" s="6" t="s">
        <v>78</v>
      </c>
      <c r="C6" s="6" t="s">
        <v>79</v>
      </c>
      <c r="D6" s="6" t="s">
        <v>80</v>
      </c>
      <c r="E6" s="6" t="s">
        <v>81</v>
      </c>
      <c r="F6" s="6" t="s">
        <v>51</v>
      </c>
      <c r="G6" s="6" t="s">
        <v>82</v>
      </c>
      <c r="H6" s="6" t="s">
        <v>83</v>
      </c>
      <c r="I6" s="6" t="s">
        <v>39</v>
      </c>
      <c r="J6" s="6" t="s">
        <v>40</v>
      </c>
      <c r="K6" s="6" t="s">
        <v>41</v>
      </c>
      <c r="L6" s="6" t="s">
        <v>84</v>
      </c>
      <c r="M6" s="6" t="s">
        <v>66</v>
      </c>
      <c r="N6" s="6" t="s">
        <v>85</v>
      </c>
      <c r="O6" s="6" t="s">
        <v>86</v>
      </c>
    </row>
    <row r="7" customFormat="false" ht="57.45" hidden="false" customHeight="false" outlineLevel="0" collapsed="false">
      <c r="A7" s="6" t="s">
        <v>87</v>
      </c>
      <c r="B7" s="6" t="s">
        <v>88</v>
      </c>
      <c r="C7" s="6" t="s">
        <v>89</v>
      </c>
      <c r="D7" s="6" t="s">
        <v>90</v>
      </c>
      <c r="E7" s="6" t="s">
        <v>81</v>
      </c>
      <c r="F7" s="6" t="s">
        <v>36</v>
      </c>
      <c r="G7" s="6" t="s">
        <v>91</v>
      </c>
      <c r="H7" s="6" t="s">
        <v>92</v>
      </c>
      <c r="I7" s="6" t="s">
        <v>39</v>
      </c>
      <c r="J7" s="6" t="s">
        <v>40</v>
      </c>
      <c r="K7" s="6" t="s">
        <v>41</v>
      </c>
      <c r="L7" s="6" t="s">
        <v>93</v>
      </c>
      <c r="M7" s="6" t="s">
        <v>43</v>
      </c>
      <c r="N7" s="6" t="s">
        <v>94</v>
      </c>
      <c r="O7" s="6" t="s">
        <v>95</v>
      </c>
    </row>
    <row r="8" customFormat="false" ht="46.25" hidden="false" customHeight="false" outlineLevel="0" collapsed="false">
      <c r="A8" s="6" t="s">
        <v>96</v>
      </c>
      <c r="B8" s="6" t="s">
        <v>97</v>
      </c>
      <c r="C8" s="6" t="s">
        <v>98</v>
      </c>
      <c r="D8" s="6" t="s">
        <v>99</v>
      </c>
      <c r="E8" s="6" t="s">
        <v>100</v>
      </c>
      <c r="F8" s="6" t="s">
        <v>51</v>
      </c>
      <c r="G8" s="6" t="s">
        <v>101</v>
      </c>
      <c r="H8" s="6" t="s">
        <v>102</v>
      </c>
      <c r="I8" s="6" t="s">
        <v>103</v>
      </c>
      <c r="J8" s="6" t="s">
        <v>40</v>
      </c>
      <c r="K8" s="6" t="s">
        <v>64</v>
      </c>
      <c r="L8" s="6" t="s">
        <v>104</v>
      </c>
      <c r="M8" s="6" t="s">
        <v>43</v>
      </c>
      <c r="N8" s="6" t="s">
        <v>105</v>
      </c>
      <c r="O8" s="6" t="s">
        <v>106</v>
      </c>
    </row>
    <row r="9" customFormat="false" ht="57.45" hidden="false" customHeight="false" outlineLevel="0" collapsed="false">
      <c r="A9" s="6" t="s">
        <v>107</v>
      </c>
      <c r="B9" s="6" t="s">
        <v>108</v>
      </c>
      <c r="C9" s="6" t="s">
        <v>109</v>
      </c>
      <c r="D9" s="6" t="s">
        <v>110</v>
      </c>
      <c r="E9" s="6" t="s">
        <v>111</v>
      </c>
      <c r="F9" s="6" t="s">
        <v>51</v>
      </c>
      <c r="G9" s="6" t="s">
        <v>112</v>
      </c>
      <c r="H9" s="6" t="s">
        <v>113</v>
      </c>
      <c r="I9" s="6" t="s">
        <v>39</v>
      </c>
      <c r="J9" s="6" t="s">
        <v>40</v>
      </c>
      <c r="K9" s="6" t="s">
        <v>114</v>
      </c>
      <c r="L9" s="6" t="s">
        <v>42</v>
      </c>
      <c r="M9" s="6" t="s">
        <v>43</v>
      </c>
      <c r="N9" s="6" t="s">
        <v>115</v>
      </c>
      <c r="O9" s="6" t="s">
        <v>116</v>
      </c>
    </row>
    <row r="10" customFormat="false" ht="35.05" hidden="false" customHeight="false" outlineLevel="0" collapsed="false">
      <c r="A10" s="6" t="s">
        <v>107</v>
      </c>
      <c r="B10" s="6" t="s">
        <v>117</v>
      </c>
      <c r="C10" s="6" t="s">
        <v>118</v>
      </c>
      <c r="D10" s="6" t="s">
        <v>119</v>
      </c>
      <c r="E10" s="6" t="s">
        <v>120</v>
      </c>
      <c r="F10" s="6" t="s">
        <v>51</v>
      </c>
      <c r="G10" s="6" t="s">
        <v>121</v>
      </c>
      <c r="H10" s="6" t="s">
        <v>122</v>
      </c>
      <c r="I10" s="6" t="s">
        <v>54</v>
      </c>
      <c r="J10" s="6" t="s">
        <v>40</v>
      </c>
      <c r="K10" s="6" t="s">
        <v>114</v>
      </c>
      <c r="L10" s="6" t="s">
        <v>104</v>
      </c>
      <c r="M10" s="6" t="s">
        <v>43</v>
      </c>
      <c r="N10" s="6" t="s">
        <v>123</v>
      </c>
      <c r="O10" s="6" t="s">
        <v>116</v>
      </c>
    </row>
    <row r="11" customFormat="false" ht="57.45" hidden="false" customHeight="false" outlineLevel="0" collapsed="false">
      <c r="A11" s="6" t="s">
        <v>124</v>
      </c>
      <c r="B11" s="6" t="s">
        <v>125</v>
      </c>
      <c r="C11" s="6" t="s">
        <v>126</v>
      </c>
      <c r="D11" s="6" t="s">
        <v>127</v>
      </c>
      <c r="E11" s="6" t="s">
        <v>128</v>
      </c>
      <c r="F11" s="6" t="s">
        <v>51</v>
      </c>
      <c r="G11" s="6" t="s">
        <v>129</v>
      </c>
      <c r="H11" s="6" t="s">
        <v>130</v>
      </c>
      <c r="I11" s="6" t="s">
        <v>54</v>
      </c>
      <c r="J11" s="6" t="s">
        <v>131</v>
      </c>
      <c r="K11" s="6" t="s">
        <v>64</v>
      </c>
      <c r="L11" s="6" t="s">
        <v>132</v>
      </c>
      <c r="M11" s="6" t="s">
        <v>43</v>
      </c>
      <c r="N11" s="6" t="s">
        <v>133</v>
      </c>
      <c r="O11" s="6" t="s">
        <v>134</v>
      </c>
    </row>
    <row r="13" customFormat="false" ht="15" hidden="false" customHeight="false" outlineLevel="0" collapsed="false">
      <c r="A13" s="7" t="s">
        <v>135</v>
      </c>
      <c r="B13" s="7" t="n">
        <f aca="false">COUNTA(A2:A11)-COUNTBLANK(A2:A11)</f>
        <v>10</v>
      </c>
    </row>
    <row r="14" customFormat="false" ht="15" hidden="false" customHeight="false" outlineLevel="0" collapsed="false">
      <c r="A14" s="7" t="s">
        <v>136</v>
      </c>
      <c r="B14" s="7" t="n">
        <f aca="false">COUNTIF(M2:M11,"Y")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0" min="9" style="0" width="10"/>
    <col collapsed="false" customWidth="true" hidden="false" outlineLevel="0" max="11" min="11" style="0" width="26"/>
    <col collapsed="false" customWidth="true" hidden="false" outlineLevel="0" max="12" min="12" style="0" width="18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5" t="s">
        <v>22</v>
      </c>
      <c r="B1" s="5" t="s">
        <v>23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  <c r="H1" s="5" t="s">
        <v>142</v>
      </c>
      <c r="I1" s="5" t="s">
        <v>143</v>
      </c>
      <c r="J1" s="5" t="s">
        <v>144</v>
      </c>
      <c r="K1" s="5" t="s">
        <v>145</v>
      </c>
      <c r="L1" s="5" t="s">
        <v>146</v>
      </c>
      <c r="M1" s="5" t="s">
        <v>147</v>
      </c>
      <c r="N1" s="5" t="s">
        <v>148</v>
      </c>
    </row>
    <row r="2" customFormat="false" ht="46.25" hidden="false" customHeight="false" outlineLevel="0" collapsed="false">
      <c r="A2" s="6" t="s">
        <v>52</v>
      </c>
      <c r="B2" s="6" t="s">
        <v>149</v>
      </c>
      <c r="C2" s="6" t="s">
        <v>150</v>
      </c>
      <c r="D2" s="6" t="s">
        <v>151</v>
      </c>
      <c r="E2" s="6" t="s">
        <v>152</v>
      </c>
      <c r="F2" s="6" t="s">
        <v>153</v>
      </c>
      <c r="G2" s="6" t="s">
        <v>154</v>
      </c>
      <c r="H2" s="6" t="s">
        <v>155</v>
      </c>
      <c r="I2" s="6" t="n">
        <v>30</v>
      </c>
      <c r="J2" s="6" t="n">
        <v>0</v>
      </c>
      <c r="K2" s="6"/>
      <c r="L2" s="6" t="s">
        <v>156</v>
      </c>
      <c r="M2" s="6" t="s">
        <v>42</v>
      </c>
      <c r="N2" s="6" t="s">
        <v>157</v>
      </c>
    </row>
    <row r="3" customFormat="false" ht="46.25" hidden="false" customHeight="false" outlineLevel="0" collapsed="false">
      <c r="A3" s="6" t="s">
        <v>73</v>
      </c>
      <c r="B3" s="6" t="s">
        <v>158</v>
      </c>
      <c r="C3" s="6" t="s">
        <v>159</v>
      </c>
      <c r="D3" s="6" t="s">
        <v>160</v>
      </c>
      <c r="E3" s="6" t="s">
        <v>161</v>
      </c>
      <c r="F3" s="6" t="s">
        <v>153</v>
      </c>
      <c r="G3" s="6" t="s">
        <v>162</v>
      </c>
      <c r="H3" s="6" t="s">
        <v>163</v>
      </c>
      <c r="I3" s="6" t="n">
        <v>20</v>
      </c>
      <c r="J3" s="6" t="n">
        <v>0</v>
      </c>
      <c r="K3" s="6"/>
      <c r="L3" s="6" t="s">
        <v>156</v>
      </c>
      <c r="M3" s="6" t="s">
        <v>65</v>
      </c>
      <c r="N3" s="6" t="s">
        <v>164</v>
      </c>
    </row>
    <row r="4" customFormat="false" ht="46.25" hidden="false" customHeight="false" outlineLevel="0" collapsed="false">
      <c r="A4" s="6" t="s">
        <v>91</v>
      </c>
      <c r="B4" s="6" t="s">
        <v>165</v>
      </c>
      <c r="C4" s="6" t="s">
        <v>166</v>
      </c>
      <c r="D4" s="6" t="s">
        <v>167</v>
      </c>
      <c r="E4" s="6" t="s">
        <v>168</v>
      </c>
      <c r="F4" s="6" t="s">
        <v>153</v>
      </c>
      <c r="G4" s="6" t="s">
        <v>154</v>
      </c>
      <c r="H4" s="6" t="s">
        <v>169</v>
      </c>
      <c r="I4" s="6" t="n">
        <v>2</v>
      </c>
      <c r="J4" s="6" t="n">
        <v>0</v>
      </c>
      <c r="K4" s="6"/>
      <c r="L4" s="6" t="s">
        <v>156</v>
      </c>
      <c r="M4" s="6" t="s">
        <v>170</v>
      </c>
      <c r="N4" s="6" t="s">
        <v>171</v>
      </c>
    </row>
    <row r="5" customFormat="false" ht="46.25" hidden="false" customHeight="false" outlineLevel="0" collapsed="false">
      <c r="A5" s="6" t="s">
        <v>101</v>
      </c>
      <c r="B5" s="6" t="s">
        <v>172</v>
      </c>
      <c r="C5" s="6" t="s">
        <v>173</v>
      </c>
      <c r="D5" s="6" t="s">
        <v>174</v>
      </c>
      <c r="E5" s="6" t="s">
        <v>175</v>
      </c>
      <c r="F5" s="6" t="s">
        <v>153</v>
      </c>
      <c r="G5" s="6" t="s">
        <v>162</v>
      </c>
      <c r="H5" s="6" t="s">
        <v>157</v>
      </c>
      <c r="I5" s="6" t="n">
        <v>5</v>
      </c>
      <c r="J5" s="6" t="n">
        <v>0</v>
      </c>
      <c r="K5" s="6"/>
      <c r="L5" s="6" t="s">
        <v>156</v>
      </c>
      <c r="M5" s="6" t="s">
        <v>104</v>
      </c>
      <c r="N5" s="6" t="s">
        <v>176</v>
      </c>
    </row>
    <row r="6" customFormat="false" ht="57.45" hidden="false" customHeight="false" outlineLevel="0" collapsed="false">
      <c r="A6" s="6" t="s">
        <v>112</v>
      </c>
      <c r="B6" s="6" t="s">
        <v>177</v>
      </c>
      <c r="C6" s="6" t="s">
        <v>178</v>
      </c>
      <c r="D6" s="6" t="s">
        <v>179</v>
      </c>
      <c r="E6" s="6" t="s">
        <v>180</v>
      </c>
      <c r="F6" s="6" t="s">
        <v>153</v>
      </c>
      <c r="G6" s="6" t="s">
        <v>154</v>
      </c>
      <c r="H6" s="6" t="s">
        <v>164</v>
      </c>
      <c r="I6" s="6" t="n">
        <v>1</v>
      </c>
      <c r="J6" s="6" t="n">
        <v>0</v>
      </c>
      <c r="K6" s="6"/>
      <c r="L6" s="6" t="s">
        <v>156</v>
      </c>
      <c r="M6" s="6" t="s">
        <v>42</v>
      </c>
      <c r="N6" s="6" t="s">
        <v>181</v>
      </c>
    </row>
    <row r="8" customFormat="false" ht="15" hidden="false" customHeight="false" outlineLevel="0" collapsed="false">
      <c r="A8" s="7" t="s">
        <v>182</v>
      </c>
      <c r="B8" s="7" t="n">
        <f aca="false">COUNTA(A2:A6)</f>
        <v>5</v>
      </c>
    </row>
    <row r="9" customFormat="false" ht="15" hidden="false" customHeight="false" outlineLevel="0" collapsed="false">
      <c r="A9" s="7" t="s">
        <v>183</v>
      </c>
      <c r="B9" s="7" t="n">
        <f aca="false">SUM(J2:J6)</f>
        <v>0</v>
      </c>
    </row>
    <row r="10" customFormat="false" ht="15" hidden="false" customHeight="false" outlineLevel="0" collapsed="false">
      <c r="A10" s="7" t="s">
        <v>184</v>
      </c>
      <c r="B10" s="7" t="n">
        <f aca="false">COUNTIF(L2:L6,"Ineffective")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8" min="7" style="0" width="24"/>
    <col collapsed="false" customWidth="true" hidden="false" outlineLevel="0" max="9" min="9" style="0" width="3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5" t="s">
        <v>185</v>
      </c>
      <c r="B1" s="5" t="s">
        <v>186</v>
      </c>
      <c r="C1" s="5" t="s">
        <v>187</v>
      </c>
      <c r="D1" s="5" t="s">
        <v>188</v>
      </c>
      <c r="E1" s="5" t="s">
        <v>189</v>
      </c>
      <c r="F1" s="5" t="s">
        <v>190</v>
      </c>
      <c r="G1" s="5" t="s">
        <v>191</v>
      </c>
      <c r="H1" s="5" t="s">
        <v>192</v>
      </c>
      <c r="I1" s="5" t="s">
        <v>193</v>
      </c>
      <c r="J1" s="5" t="s">
        <v>194</v>
      </c>
      <c r="K1" s="5" t="s">
        <v>195</v>
      </c>
      <c r="L1" s="5" t="s">
        <v>196</v>
      </c>
      <c r="M1" s="5" t="s">
        <v>197</v>
      </c>
      <c r="N1" s="5" t="s">
        <v>198</v>
      </c>
    </row>
    <row r="2" customFormat="false" ht="68.65" hidden="false" customHeight="false" outlineLevel="0" collapsed="false">
      <c r="A2" s="6" t="s">
        <v>199</v>
      </c>
      <c r="B2" s="6" t="s">
        <v>73</v>
      </c>
      <c r="C2" s="6" t="s">
        <v>200</v>
      </c>
      <c r="D2" s="6" t="s">
        <v>201</v>
      </c>
      <c r="E2" s="6" t="s">
        <v>202</v>
      </c>
      <c r="F2" s="6" t="s">
        <v>203</v>
      </c>
      <c r="G2" s="6" t="s">
        <v>204</v>
      </c>
      <c r="H2" s="6" t="s">
        <v>205</v>
      </c>
      <c r="I2" s="6" t="s">
        <v>206</v>
      </c>
      <c r="J2" s="6" t="s">
        <v>65</v>
      </c>
      <c r="K2" s="6" t="s">
        <v>207</v>
      </c>
      <c r="L2" s="6" t="s">
        <v>208</v>
      </c>
      <c r="M2" s="6" t="s">
        <v>209</v>
      </c>
      <c r="N2" s="6" t="s">
        <v>210</v>
      </c>
    </row>
    <row r="3" customFormat="false" ht="68.65" hidden="false" customHeight="false" outlineLevel="0" collapsed="false">
      <c r="A3" s="6" t="s">
        <v>211</v>
      </c>
      <c r="B3" s="6" t="s">
        <v>129</v>
      </c>
      <c r="C3" s="6" t="s">
        <v>212</v>
      </c>
      <c r="D3" s="6" t="s">
        <v>213</v>
      </c>
      <c r="E3" s="6" t="s">
        <v>214</v>
      </c>
      <c r="F3" s="6" t="s">
        <v>215</v>
      </c>
      <c r="G3" s="6" t="s">
        <v>216</v>
      </c>
      <c r="H3" s="6" t="s">
        <v>217</v>
      </c>
      <c r="I3" s="6" t="s">
        <v>218</v>
      </c>
      <c r="J3" s="6" t="s">
        <v>42</v>
      </c>
      <c r="K3" s="6" t="s">
        <v>219</v>
      </c>
      <c r="L3" s="6" t="s">
        <v>220</v>
      </c>
      <c r="M3" s="6" t="s">
        <v>221</v>
      </c>
      <c r="N3" s="6"/>
    </row>
    <row r="5" customFormat="false" ht="15" hidden="false" customHeight="false" outlineLevel="0" collapsed="false">
      <c r="A5" s="7" t="s">
        <v>222</v>
      </c>
      <c r="B5" s="7" t="n">
        <f aca="false">COUNTIF(L2:L3,"Open")+COUNTIF(L2:L3,"In Progress")</f>
        <v>1</v>
      </c>
    </row>
    <row r="6" customFormat="false" ht="15" hidden="false" customHeight="false" outlineLevel="0" collapsed="false">
      <c r="A6" s="7" t="s">
        <v>223</v>
      </c>
      <c r="B6" s="7" t="n">
        <f aca="false">COUNTIF(F2:F3,"Material Weakness")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7" min="5" style="0" width="20"/>
    <col collapsed="false" customWidth="true" hidden="false" outlineLevel="0" max="8" min="8" style="0" width="14"/>
    <col collapsed="false" customWidth="true" hidden="false" outlineLevel="0" max="9" min="9" style="0" width="24"/>
    <col collapsed="false" customWidth="true" hidden="false" outlineLevel="0" max="10" min="10" style="0" width="28"/>
    <col collapsed="false" customWidth="true" hidden="false" outlineLevel="0" max="11" min="11" style="0" width="22"/>
    <col collapsed="false" customWidth="true" hidden="false" outlineLevel="0" max="13" min="12" style="0" width="14"/>
  </cols>
  <sheetData>
    <row r="1" customFormat="false" ht="30" hidden="false" customHeight="true" outlineLevel="0" collapsed="false">
      <c r="A1" s="5" t="s">
        <v>224</v>
      </c>
      <c r="B1" s="5" t="s">
        <v>225</v>
      </c>
      <c r="C1" s="5" t="s">
        <v>226</v>
      </c>
      <c r="D1" s="5" t="s">
        <v>227</v>
      </c>
      <c r="E1" s="5" t="s">
        <v>228</v>
      </c>
      <c r="F1" s="5" t="s">
        <v>229</v>
      </c>
      <c r="G1" s="5" t="s">
        <v>230</v>
      </c>
      <c r="H1" s="5" t="s">
        <v>231</v>
      </c>
      <c r="I1" s="5" t="s">
        <v>232</v>
      </c>
      <c r="J1" s="5" t="s">
        <v>233</v>
      </c>
      <c r="K1" s="5" t="s">
        <v>234</v>
      </c>
      <c r="L1" s="5" t="s">
        <v>235</v>
      </c>
      <c r="M1" s="5" t="s">
        <v>236</v>
      </c>
    </row>
    <row r="2" customFormat="false" ht="102.2" hidden="false" customHeight="false" outlineLevel="0" collapsed="false">
      <c r="A2" s="6" t="s">
        <v>237</v>
      </c>
      <c r="B2" s="6" t="s">
        <v>238</v>
      </c>
      <c r="C2" s="6" t="s">
        <v>239</v>
      </c>
      <c r="D2" s="6" t="s">
        <v>240</v>
      </c>
      <c r="E2" s="6" t="s">
        <v>241</v>
      </c>
      <c r="F2" s="6" t="s">
        <v>242</v>
      </c>
      <c r="G2" s="6" t="s">
        <v>243</v>
      </c>
      <c r="H2" s="6" t="s">
        <v>244</v>
      </c>
      <c r="I2" s="6" t="s">
        <v>245</v>
      </c>
      <c r="J2" s="6" t="s">
        <v>246</v>
      </c>
      <c r="K2" s="6" t="s">
        <v>247</v>
      </c>
      <c r="L2" s="6" t="s">
        <v>248</v>
      </c>
      <c r="M2" s="6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2026-09-07T13:22:51Z</dcterms:created>
  <dc:creator>openpyxl</dc:creator>
  <dc:description/>
  <dc:language>en-US</dc:language>
  <cp:lastModifiedBy/>
  <dcterms:modified xsi:type="dcterms:W3CDTF">2026-09-07T13:22:51Z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