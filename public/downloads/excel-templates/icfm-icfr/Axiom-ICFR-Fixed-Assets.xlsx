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<sst xmlns="http://schemas.openxmlformats.org/spreadsheetml/2006/main" count="324" uniqueCount="243">
  <si>
    <t xml:space="preserve">ICFM / ICFR Template — Fixed Assets &amp; Capital Expenditures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</si>
  <si>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</si>
  <si>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</si>
  <si>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</si>
  <si>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</si>
  <si>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</si>
  <si>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</si>
  <si>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</si>
  <si>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</si>
  <si>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</si>
  <si>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</si>
  <si>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</si>
  <si>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</si>
  <si>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</si>
  <si>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</si>
  <si>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</si>
  <si>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</si>
  <si>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</si>
  <si>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</si>
  <si>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</si>
  <si>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</si>
  <si>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</si>
  <si>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</si>
  <si>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</si>
  <si>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</si>
  <si>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</si>
  <si>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</si>
  <si>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</si>
  <si>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</si>
  <si>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</si>
  <si>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</si>
  <si>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Capital Planning</t>
  </si>
  <si>
    <t xml:space="preserve">Capex Authorization (AFE)</t>
  </si>
  <si>
    <t xml:space="preserve">FA-R01</t>
  </si>
  <si>
    <t xml:space="preserve">Capital expenditures are incurred without proper authorization or exceed approved budget</t>
  </si>
  <si>
    <t xml:space="preserve">Existence/Occurrence</t>
  </si>
  <si>
    <t xml:space="preserve">Control Activities</t>
  </si>
  <si>
    <t xml:space="preserve">FA-C01</t>
  </si>
  <si>
    <t xml:space="preserve">Capital projects require an Authorization for Expenditure (AFE) approved per the delegation of authority matrix before spending begins; spend is monitored against the approved AFE amount</t>
  </si>
  <si>
    <t xml:space="preserve">Preventive</t>
  </si>
  <si>
    <t xml:space="preserve">Manual</t>
  </si>
  <si>
    <t xml:space="preserve">Per Project</t>
  </si>
  <si>
    <t xml:space="preserve">Controller / VP Finance</t>
  </si>
  <si>
    <t xml:space="preserve">Y</t>
  </si>
  <si>
    <t xml:space="preserve">Approved AFE; budget-to-actual tracking</t>
  </si>
  <si>
    <t xml:space="preserve">ERP / Capital Project Tracking Tool</t>
  </si>
  <si>
    <t xml:space="preserve">Asset Additions</t>
  </si>
  <si>
    <t xml:space="preserve">Capitalization vs. Expense Classification</t>
  </si>
  <si>
    <t xml:space="preserve">FA-R02</t>
  </si>
  <si>
    <t xml:space="preserve">Costs are improperly capitalized or expensed, misclassifying the balance sheet and income statement</t>
  </si>
  <si>
    <t xml:space="preserve">Classification</t>
  </si>
  <si>
    <t xml:space="preserve">FA-C02</t>
  </si>
  <si>
    <t xml:space="preserve">Costs are evaluated against the capitalization policy thresholds and criteria before posting; the Controller approves the capitalization classification for new asset additions</t>
  </si>
  <si>
    <t xml:space="preserve">Per Transaction</t>
  </si>
  <si>
    <t xml:space="preserve">Controller</t>
  </si>
  <si>
    <t xml:space="preserve">Capitalization approval memo</t>
  </si>
  <si>
    <t xml:space="preserve">Fixed Asset Subledger</t>
  </si>
  <si>
    <t xml:space="preserve">Construction in Progress (CIP) Monitoring</t>
  </si>
  <si>
    <t xml:space="preserve">FA-R03</t>
  </si>
  <si>
    <t xml:space="preserve">Costs remain in CIP after the asset is placed in service, understating depreciation expense</t>
  </si>
  <si>
    <t xml:space="preserve">Cutoff/Valuation</t>
  </si>
  <si>
    <t xml:space="preserve">FA-C03</t>
  </si>
  <si>
    <t xml:space="preserve">CIP balances are reviewed quarterly to confirm assets placed in service have been transferred out of CIP and depreciation has commenced</t>
  </si>
  <si>
    <t xml:space="preserve">Detective</t>
  </si>
  <si>
    <t xml:space="preserve">Quarterly</t>
  </si>
  <si>
    <t xml:space="preserve">CIP aging review workpaper</t>
  </si>
  <si>
    <t xml:space="preserve">Depreciation</t>
  </si>
  <si>
    <t xml:space="preserve">Useful Life &amp; Method Assignment</t>
  </si>
  <si>
    <t xml:space="preserve">FA-R04</t>
  </si>
  <si>
    <t xml:space="preserve">Assets are assigned an incorrect useful life or depreciation method, misstating depreciation expense</t>
  </si>
  <si>
    <t xml:space="preserve">Valuation</t>
  </si>
  <si>
    <t xml:space="preserve">FA-C04</t>
  </si>
  <si>
    <t xml:space="preserve">Useful life and depreciation method are assigned per the fixed asset policy at the time of asset set-up and are reviewed by the Controller for new asset categories or significant additions</t>
  </si>
  <si>
    <t xml:space="preserve">N</t>
  </si>
  <si>
    <t xml:space="preserve">Asset set-up approval; policy reference</t>
  </si>
  <si>
    <t xml:space="preserve">Depreciation Expense Reconciliation</t>
  </si>
  <si>
    <t xml:space="preserve">FA-R05</t>
  </si>
  <si>
    <t xml:space="preserve">Depreciation expense recorded in the GL does not agree with the fixed asset subledger</t>
  </si>
  <si>
    <t xml:space="preserve">Accuracy</t>
  </si>
  <si>
    <t xml:space="preserve">Monitoring Activities</t>
  </si>
  <si>
    <t xml:space="preserve">FA-C05</t>
  </si>
  <si>
    <t xml:space="preserve">Depreciation expense per the fixed asset subledger is reconciled to the GL monthly; variances are investigated and resolved before close</t>
  </si>
  <si>
    <t xml:space="preserve">Monthly</t>
  </si>
  <si>
    <t xml:space="preserve">Accounting Manager</t>
  </si>
  <si>
    <t xml:space="preserve">Reconciliation workpaper</t>
  </si>
  <si>
    <t xml:space="preserve">Fixed Asset Subledger, GL</t>
  </si>
  <si>
    <t xml:space="preserve">Asset Verification</t>
  </si>
  <si>
    <t xml:space="preserve">Physical Asset Verification</t>
  </si>
  <si>
    <t xml:space="preserve">FA-R06</t>
  </si>
  <si>
    <t xml:space="preserve">Fixed assets recorded in the subledger no longer exist, are impaired, or are not located, overstating asset value</t>
  </si>
  <si>
    <t xml:space="preserve">Existence</t>
  </si>
  <si>
    <t xml:space="preserve">FA-C06</t>
  </si>
  <si>
    <t xml:space="preserve">A physical inventory of fixed assets (full count or rotational cycle count) is performed periodically and reconciled to the fixed asset subledger; discrepancies are investigated and resolved</t>
  </si>
  <si>
    <t xml:space="preserve">Annual / Rotational</t>
  </si>
  <si>
    <t xml:space="preserve">Annual</t>
  </si>
  <si>
    <t xml:space="preserve">Physical count reconciliation workpaper</t>
  </si>
  <si>
    <t xml:space="preserve">Asset Disposals</t>
  </si>
  <si>
    <t xml:space="preserve">Disposal &amp; Retirement Approval</t>
  </si>
  <si>
    <t xml:space="preserve">FA-R07</t>
  </si>
  <si>
    <t xml:space="preserve">Asset disposals or retirements are recorded without proper approval or gain/loss is misstated</t>
  </si>
  <si>
    <t xml:space="preserve">Existence/Valuation</t>
  </si>
  <si>
    <t xml:space="preserve">FA-C07</t>
  </si>
  <si>
    <t xml:space="preserve">Asset disposals require documented approval before removal from the fixed asset subledger; gain/loss on disposal is calculated and reviewed by the Controller</t>
  </si>
  <si>
    <t xml:space="preserve">Approved disposal form; gain/loss calculation</t>
  </si>
  <si>
    <t xml:space="preserve">Impairment</t>
  </si>
  <si>
    <t xml:space="preserve">Impairment Assessment</t>
  </si>
  <si>
    <t xml:space="preserve">FA-R08</t>
  </si>
  <si>
    <t xml:space="preserve">Indicators of impairment are not identified or evaluated, overstating asset carrying values</t>
  </si>
  <si>
    <t xml:space="preserve">FA-C08</t>
  </si>
  <si>
    <t xml:space="preserve">Management assesses long-lived assets for impairment indicators at least annually and whenever a triggering event occurs; the assessment methodology and conclusion are documented and reviewed by the CFO</t>
  </si>
  <si>
    <t xml:space="preserve">Annual / As Triggered</t>
  </si>
  <si>
    <t xml:space="preserve">CFO</t>
  </si>
  <si>
    <t xml:space="preserve">Impairment assessment memo</t>
  </si>
  <si>
    <t xml:space="preserve">Fixed Asset Subledger, Valuation Models</t>
  </si>
  <si>
    <t xml:space="preserve">Insurance &amp; Risk</t>
  </si>
  <si>
    <t xml:space="preserve">Insurable Value Reporting</t>
  </si>
  <si>
    <t xml:space="preserve">FA-R09</t>
  </si>
  <si>
    <t xml:space="preserve">Insurance coverage does not reflect the current value or existence of fixed assets, creating uninsured risk exposure</t>
  </si>
  <si>
    <t xml:space="preserve">FA-C09</t>
  </si>
  <si>
    <t xml:space="preserve">Fixed asset additions, disposals, and replacement cost estimates are reported to the insurance broker/risk manager annually to confirm coverage adequacy</t>
  </si>
  <si>
    <t xml:space="preserve">Controller / Risk Manager</t>
  </si>
  <si>
    <t xml:space="preserve">Insurance schedule update confirmation</t>
  </si>
  <si>
    <t xml:space="preserve">Segregation of Duties</t>
  </si>
  <si>
    <t xml:space="preserve">Fixed Asset Role Access</t>
  </si>
  <si>
    <t xml:space="preserve">FA-R10</t>
  </si>
  <si>
    <t xml:space="preserve">A single individual can approve a capital project, record the asset addition, and process a disposal, enabling concealment of misappropriation</t>
  </si>
  <si>
    <t xml:space="preserve">FA-C10</t>
  </si>
  <si>
    <t xml:space="preserve">System role-based access enforces segregation between AFE approval, asset addition/capitalization recording, and disposal processing; access is reviewed quarterly</t>
  </si>
  <si>
    <t xml:space="preserve">IT-Dependent Manual</t>
  </si>
  <si>
    <t xml:space="preserve">IT Security Manager / Controller</t>
  </si>
  <si>
    <t xml:space="preserve">SoD access review report</t>
  </si>
  <si>
    <t xml:space="preserve">ERP / Fixed Asset Module Role Configuration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</si>
  <si>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</si>
  <si>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</si>
  <si>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</si>
  <si>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</si>
  <si>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</si>
  <si>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</si>
  <si>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</si>
  <si>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</si>
  <si>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</si>
  <si>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</si>
  <si>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</si>
  <si>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</si>
  <si>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</si>
  <si>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</si>
  <si>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AFE approval before capital spend</t>
  </si>
  <si>
    <t xml:space="preserve">Confirm capital projects are approved per the delegation of authority before spend begins</t>
  </si>
  <si>
    <t xml:space="preserve">Select a sample of capital projects initiated in the period; inspect the approved AFE and confirm approver authority against the delegation matrix</t>
  </si>
  <si>
    <t xml:space="preserve">Judgmental, 10 projects</t>
  </si>
  <si>
    <t xml:space="preserve">Q2 2026</t>
  </si>
  <si>
    <t xml:space="preserve">D. Silva</t>
  </si>
  <si>
    <t xml:space="preserve">2026-07-14</t>
  </si>
  <si>
    <t xml:space="preserve">Effective</t>
  </si>
  <si>
    <t xml:space="preserve">2026-07-17</t>
  </si>
  <si>
    <t xml:space="preserve">Capitalization classification review</t>
  </si>
  <si>
    <t xml:space="preserve">Confirm costs are classified as capital or expense per policy and approved</t>
  </si>
  <si>
    <t xml:space="preserve">Select a sample of asset additions; inspect the capitalization approval memo and confirm classification agrees with policy thresholds and criteria</t>
  </si>
  <si>
    <t xml:space="preserve">Judgmental, 20 additions</t>
  </si>
  <si>
    <t xml:space="preserve">2026-07-15</t>
  </si>
  <si>
    <t xml:space="preserve">One addition included approximately $6,000 of training costs that should have been expensed rather than capitalized</t>
  </si>
  <si>
    <t xml:space="preserve">Effective with Exception</t>
  </si>
  <si>
    <t xml:space="preserve">2026-07-18</t>
  </si>
  <si>
    <t xml:space="preserve">Depreciation expense reconciliation to GL</t>
  </si>
  <si>
    <t xml:space="preserve">Confirm depreciation expense per the subledger reconciles to the GL monthly</t>
  </si>
  <si>
    <t xml:space="preserve">Re-perform the monthly reconciliation for a sample of 3 months and agree the subledger total to the GL depreciation expense account</t>
  </si>
  <si>
    <t xml:space="preserve">3 of 12 months</t>
  </si>
  <si>
    <t xml:space="preserve">2026-07-16</t>
  </si>
  <si>
    <t xml:space="preserve">2026-07-19</t>
  </si>
  <si>
    <t xml:space="preserve">Physical asset verification and reconciliation</t>
  </si>
  <si>
    <t xml:space="preserve">Confirm the physical count of fixed assets is reconciled to the subledger</t>
  </si>
  <si>
    <t xml:space="preserve">Observe or inspect evidence of the annual physical count for a sample of asset locations; inspect reconciliation of count results to the subledger and resolution of discrepancies</t>
  </si>
  <si>
    <t xml:space="preserve">Judgmental, 3 locations</t>
  </si>
  <si>
    <t xml:space="preserve">2026-07-20</t>
  </si>
  <si>
    <t xml:space="preserve">Disposal approval and gain/loss review</t>
  </si>
  <si>
    <t xml:space="preserve">Confirm disposals are approved and gain/loss is properly calculated</t>
  </si>
  <si>
    <t xml:space="preserve">Select a sample of asset disposals in the period; inspect the approved disposal form and recompute the gain/loss calculation</t>
  </si>
  <si>
    <t xml:space="preserve">Judgmental, 8 disposals</t>
  </si>
  <si>
    <t xml:space="preserve">2026-07-21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</si>
  <si>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</si>
  <si>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</si>
  <si>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</si>
  <si>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</si>
  <si>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</si>
  <si>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</si>
  <si>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</si>
  <si>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</si>
  <si>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</si>
  <si>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</si>
  <si>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</si>
  <si>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</si>
  <si>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</si>
  <si>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</si>
  <si>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</si>
  <si>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</si>
  <si>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</si>
  <si>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FA-D01</t>
  </si>
  <si>
    <t xml:space="preserve">Approximately $6,000 of employee training costs related to a new equipment installation were capitalized as part of the asset cost instead of expensed</t>
  </si>
  <si>
    <t xml:space="preserve">The capitalization checklist used by the project accountant did not explicitly call out training costs as a non-capitalizable item</t>
  </si>
  <si>
    <t xml:space="preserve">Control Deficiency</t>
  </si>
  <si>
    <t xml:space="preserve">Low - immaterial dollar amount, isolated to one project</t>
  </si>
  <si>
    <t xml:space="preserve">Quarterly capitalization true-up review by the Controller</t>
  </si>
  <si>
    <t xml:space="preserve">Update the capitalization checklist to explicitly list common non-capitalizable cost types and correct the entry</t>
  </si>
  <si>
    <t xml:space="preserve">2026-08-31</t>
  </si>
  <si>
    <t xml:space="preserve">In Progress</t>
  </si>
  <si>
    <t xml:space="preserve">2026-09-10</t>
  </si>
  <si>
    <t xml:space="preserve">FA-D02</t>
  </si>
  <si>
    <t xml:space="preserve">2026-04-30</t>
  </si>
  <si>
    <t xml:space="preserve">A completed warehouse renovation remained in CIP for two months after being placed in service, delaying the start of depreciation</t>
  </si>
  <si>
    <t xml:space="preserve">Operations did not notify Accounting of the in-service date; the quarterly CIP review had not yet been performed for the period</t>
  </si>
  <si>
    <t xml:space="preserve">Low - two months of depreciation expense understated by an immaterial amount, corrected via true-up entry</t>
  </si>
  <si>
    <t xml:space="preserve">Annual physical asset verification would eventually identify the asset</t>
  </si>
  <si>
    <t xml:space="preserve">Add a formal in-service notification step from Operations to Accounting as part of the project closeout checklist</t>
  </si>
  <si>
    <t xml:space="preserve">2026-08-15</t>
  </si>
  <si>
    <t xml:space="preserve">Remediated</t>
  </si>
  <si>
    <t xml:space="preserve">2026-08-01</t>
  </si>
  <si>
    <t xml:space="preserve">Effective - notification step added and tested on subsequent project closeouts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</si>
  <si>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</si>
  <si>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</si>
  <si>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</si>
  <si>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</si>
  <si>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</si>
  <si>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</si>
  <si>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</si>
  <si>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</si>
  <si>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</si>
  <si>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</si>
  <si>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</si>
  <si>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</si>
  <si>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</si>
  <si>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</si>
  <si>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</si>
  <si>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Fixed Assets &amp; Capital Expenditures</t>
  </si>
  <si>
    <t xml:space="preserve">Ensure capital expenditures are properly authorized, assets are accurately capitalized and depreciated, and asset existence is periodically verified</t>
  </si>
  <si>
    <t xml:space="preserve">1) Capital project proposed and AFE approved; 2) Costs tracked in CIP during construction/development; 3) Asset transferred from CIP and placed in service; 4) Useful life and depreciation method assigned; 5) Depreciation recorded monthly and reconciled to the GL; 6) Physical verification performed periodically; 7) Disposals approved and gain/loss recorded; 8) Impairment indicators assessed annually</t>
  </si>
  <si>
    <t xml:space="preserve">ERP / Fixed Asset Module, Capital Project Tracking Tool</t>
  </si>
  <si>
    <t xml:space="preserve">AFE requests, vendor invoices, project cost reports</t>
  </si>
  <si>
    <t xml:space="preserve">Capitalized assets, depreciation schedules, disposal records</t>
  </si>
  <si>
    <t xml:space="preserve">FA-C01 through FA-C08</t>
  </si>
  <si>
    <t xml:space="preserve">Improper capitalization; understated depreciation; overstated asset values; unauthorized disposals</t>
  </si>
  <si>
    <t xml:space="preserve">AFE approval, asset recording, and disposal processing are performed by different roles</t>
  </si>
  <si>
    <t xml:space="preserve">Capitalization Policy; Delegation of Authority Matrix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</si>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</sst>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2" headerRowCount="1" totalsRowCount="0" totalsRowShown="0">
  <autoFilter ref="A1:M2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46.2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46.25" hidden="false" customHeight="fals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36</v>
      </c>
      <c r="G3" s="6" t="s">
        <v>51</v>
      </c>
      <c r="H3" s="6" t="s">
        <v>52</v>
      </c>
      <c r="I3" s="6" t="s">
        <v>39</v>
      </c>
      <c r="J3" s="6" t="s">
        <v>40</v>
      </c>
      <c r="K3" s="6" t="s">
        <v>53</v>
      </c>
      <c r="L3" s="6" t="s">
        <v>54</v>
      </c>
      <c r="M3" s="6" t="s">
        <v>43</v>
      </c>
      <c r="N3" s="6" t="s">
        <v>55</v>
      </c>
      <c r="O3" s="6" t="s">
        <v>56</v>
      </c>
    </row>
    <row r="4" customFormat="false" ht="35.05" hidden="false" customHeight="false" outlineLevel="0" collapsed="false">
      <c r="A4" s="6" t="s">
        <v>46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36</v>
      </c>
      <c r="G4" s="6" t="s">
        <v>61</v>
      </c>
      <c r="H4" s="6" t="s">
        <v>62</v>
      </c>
      <c r="I4" s="6" t="s">
        <v>63</v>
      </c>
      <c r="J4" s="6" t="s">
        <v>40</v>
      </c>
      <c r="K4" s="6" t="s">
        <v>64</v>
      </c>
      <c r="L4" s="6" t="s">
        <v>54</v>
      </c>
      <c r="M4" s="6" t="s">
        <v>43</v>
      </c>
      <c r="N4" s="6" t="s">
        <v>65</v>
      </c>
      <c r="O4" s="6" t="s">
        <v>56</v>
      </c>
    </row>
    <row r="5" customFormat="false" ht="46.25" hidden="false" customHeight="false" outlineLevel="0" collapsed="false">
      <c r="A5" s="6" t="s">
        <v>66</v>
      </c>
      <c r="B5" s="6" t="s">
        <v>67</v>
      </c>
      <c r="C5" s="6" t="s">
        <v>68</v>
      </c>
      <c r="D5" s="6" t="s">
        <v>69</v>
      </c>
      <c r="E5" s="6" t="s">
        <v>70</v>
      </c>
      <c r="F5" s="6" t="s">
        <v>36</v>
      </c>
      <c r="G5" s="6" t="s">
        <v>71</v>
      </c>
      <c r="H5" s="6" t="s">
        <v>72</v>
      </c>
      <c r="I5" s="6" t="s">
        <v>39</v>
      </c>
      <c r="J5" s="6" t="s">
        <v>40</v>
      </c>
      <c r="K5" s="6" t="s">
        <v>53</v>
      </c>
      <c r="L5" s="6" t="s">
        <v>54</v>
      </c>
      <c r="M5" s="6" t="s">
        <v>73</v>
      </c>
      <c r="N5" s="6" t="s">
        <v>74</v>
      </c>
      <c r="O5" s="6" t="s">
        <v>56</v>
      </c>
    </row>
    <row r="6" customFormat="false" ht="35.05" hidden="false" customHeight="false" outlineLevel="0" collapsed="false">
      <c r="A6" s="6" t="s">
        <v>66</v>
      </c>
      <c r="B6" s="6" t="s">
        <v>75</v>
      </c>
      <c r="C6" s="6" t="s">
        <v>76</v>
      </c>
      <c r="D6" s="6" t="s">
        <v>77</v>
      </c>
      <c r="E6" s="6" t="s">
        <v>78</v>
      </c>
      <c r="F6" s="6" t="s">
        <v>79</v>
      </c>
      <c r="G6" s="6" t="s">
        <v>80</v>
      </c>
      <c r="H6" s="6" t="s">
        <v>81</v>
      </c>
      <c r="I6" s="6" t="s">
        <v>63</v>
      </c>
      <c r="J6" s="6" t="s">
        <v>40</v>
      </c>
      <c r="K6" s="6" t="s">
        <v>82</v>
      </c>
      <c r="L6" s="6" t="s">
        <v>83</v>
      </c>
      <c r="M6" s="6" t="s">
        <v>43</v>
      </c>
      <c r="N6" s="6" t="s">
        <v>84</v>
      </c>
      <c r="O6" s="6" t="s">
        <v>85</v>
      </c>
    </row>
    <row r="7" customFormat="false" ht="46.25" hidden="false" customHeight="false" outlineLevel="0" collapsed="false">
      <c r="A7" s="6" t="s">
        <v>86</v>
      </c>
      <c r="B7" s="6" t="s">
        <v>87</v>
      </c>
      <c r="C7" s="6" t="s">
        <v>88</v>
      </c>
      <c r="D7" s="6" t="s">
        <v>89</v>
      </c>
      <c r="E7" s="6" t="s">
        <v>90</v>
      </c>
      <c r="F7" s="6" t="s">
        <v>36</v>
      </c>
      <c r="G7" s="6" t="s">
        <v>91</v>
      </c>
      <c r="H7" s="6" t="s">
        <v>92</v>
      </c>
      <c r="I7" s="6" t="s">
        <v>63</v>
      </c>
      <c r="J7" s="6" t="s">
        <v>93</v>
      </c>
      <c r="K7" s="6" t="s">
        <v>94</v>
      </c>
      <c r="L7" s="6" t="s">
        <v>54</v>
      </c>
      <c r="M7" s="6" t="s">
        <v>43</v>
      </c>
      <c r="N7" s="6" t="s">
        <v>95</v>
      </c>
      <c r="O7" s="6" t="s">
        <v>56</v>
      </c>
    </row>
    <row r="8" customFormat="false" ht="46.25" hidden="false" customHeight="false" outlineLevel="0" collapsed="false">
      <c r="A8" s="6" t="s">
        <v>96</v>
      </c>
      <c r="B8" s="6" t="s">
        <v>97</v>
      </c>
      <c r="C8" s="6" t="s">
        <v>98</v>
      </c>
      <c r="D8" s="6" t="s">
        <v>99</v>
      </c>
      <c r="E8" s="6" t="s">
        <v>100</v>
      </c>
      <c r="F8" s="6" t="s">
        <v>36</v>
      </c>
      <c r="G8" s="6" t="s">
        <v>101</v>
      </c>
      <c r="H8" s="6" t="s">
        <v>102</v>
      </c>
      <c r="I8" s="6" t="s">
        <v>39</v>
      </c>
      <c r="J8" s="6" t="s">
        <v>40</v>
      </c>
      <c r="K8" s="6" t="s">
        <v>53</v>
      </c>
      <c r="L8" s="6" t="s">
        <v>54</v>
      </c>
      <c r="M8" s="6" t="s">
        <v>43</v>
      </c>
      <c r="N8" s="6" t="s">
        <v>103</v>
      </c>
      <c r="O8" s="6" t="s">
        <v>56</v>
      </c>
    </row>
    <row r="9" customFormat="false" ht="57.45" hidden="false" customHeight="false" outlineLevel="0" collapsed="false">
      <c r="A9" s="6" t="s">
        <v>104</v>
      </c>
      <c r="B9" s="6" t="s">
        <v>105</v>
      </c>
      <c r="C9" s="6" t="s">
        <v>106</v>
      </c>
      <c r="D9" s="6" t="s">
        <v>107</v>
      </c>
      <c r="E9" s="6" t="s">
        <v>70</v>
      </c>
      <c r="F9" s="6" t="s">
        <v>36</v>
      </c>
      <c r="G9" s="6" t="s">
        <v>108</v>
      </c>
      <c r="H9" s="6" t="s">
        <v>109</v>
      </c>
      <c r="I9" s="6" t="s">
        <v>63</v>
      </c>
      <c r="J9" s="6" t="s">
        <v>40</v>
      </c>
      <c r="K9" s="6" t="s">
        <v>110</v>
      </c>
      <c r="L9" s="6" t="s">
        <v>111</v>
      </c>
      <c r="M9" s="6" t="s">
        <v>73</v>
      </c>
      <c r="N9" s="6" t="s">
        <v>112</v>
      </c>
      <c r="O9" s="6" t="s">
        <v>113</v>
      </c>
    </row>
    <row r="10" customFormat="false" ht="57.45" hidden="false" customHeight="false" outlineLevel="0" collapsed="false">
      <c r="A10" s="6" t="s">
        <v>114</v>
      </c>
      <c r="B10" s="6" t="s">
        <v>115</v>
      </c>
      <c r="C10" s="6" t="s">
        <v>116</v>
      </c>
      <c r="D10" s="6" t="s">
        <v>117</v>
      </c>
      <c r="E10" s="6" t="s">
        <v>100</v>
      </c>
      <c r="F10" s="6" t="s">
        <v>79</v>
      </c>
      <c r="G10" s="6" t="s">
        <v>118</v>
      </c>
      <c r="H10" s="6" t="s">
        <v>119</v>
      </c>
      <c r="I10" s="6" t="s">
        <v>63</v>
      </c>
      <c r="J10" s="6" t="s">
        <v>94</v>
      </c>
      <c r="K10" s="6" t="s">
        <v>120</v>
      </c>
      <c r="L10" s="6" t="s">
        <v>73</v>
      </c>
      <c r="M10" s="6" t="s">
        <v>121</v>
      </c>
      <c r="N10" s="6" t="s">
        <v>56</v>
      </c>
    </row>
    <row r="11" customFormat="false" ht="46.25" hidden="false" customHeight="false" outlineLevel="0" collapsed="false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35</v>
      </c>
      <c r="F11" s="6" t="s">
        <v>36</v>
      </c>
      <c r="G11" s="6" t="s">
        <v>126</v>
      </c>
      <c r="H11" s="6" t="s">
        <v>127</v>
      </c>
      <c r="I11" s="6" t="s">
        <v>39</v>
      </c>
      <c r="J11" s="6" t="s">
        <v>128</v>
      </c>
      <c r="K11" s="6" t="s">
        <v>64</v>
      </c>
      <c r="L11" s="6" t="s">
        <v>129</v>
      </c>
      <c r="M11" s="6" t="s">
        <v>73</v>
      </c>
      <c r="N11" s="6" t="s">
        <v>130</v>
      </c>
      <c r="O11" s="6" t="s">
        <v>131</v>
      </c>
    </row>
    <row r="13" customFormat="false" ht="15" hidden="false" customHeight="false" outlineLevel="0" collapsed="false">
      <c r="A13" s="7" t="s">
        <v>132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133</v>
      </c>
      <c r="B14" s="7" t="n">
        <f aca="false">COUNTIF(M2:M11,"Y")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</row>
    <row r="2" customFormat="false" ht="46.25" hidden="false" customHeight="false" outlineLevel="0" collapsed="false">
      <c r="A2" s="6" t="s">
        <v>37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n">
        <v>10</v>
      </c>
      <c r="J2" s="6" t="n">
        <v>0</v>
      </c>
      <c r="K2" s="6"/>
      <c r="L2" s="6" t="s">
        <v>153</v>
      </c>
      <c r="M2" s="6" t="s">
        <v>54</v>
      </c>
      <c r="N2" s="6" t="s">
        <v>154</v>
      </c>
    </row>
    <row r="3" customFormat="false" ht="57.45" hidden="false" customHeight="false" outlineLevel="0" collapsed="false">
      <c r="A3" s="6" t="s">
        <v>51</v>
      </c>
      <c r="B3" s="6" t="s">
        <v>155</v>
      </c>
      <c r="C3" s="6" t="s">
        <v>156</v>
      </c>
      <c r="D3" s="6" t="s">
        <v>157</v>
      </c>
      <c r="E3" s="6" t="s">
        <v>158</v>
      </c>
      <c r="F3" s="6" t="s">
        <v>150</v>
      </c>
      <c r="G3" s="6" t="s">
        <v>151</v>
      </c>
      <c r="H3" s="6" t="s">
        <v>159</v>
      </c>
      <c r="I3" s="6" t="n">
        <v>20</v>
      </c>
      <c r="J3" s="6" t="n">
        <v>1</v>
      </c>
      <c r="K3" s="6" t="s">
        <v>160</v>
      </c>
      <c r="L3" s="6" t="s">
        <v>161</v>
      </c>
      <c r="M3" s="6" t="s">
        <v>54</v>
      </c>
      <c r="N3" s="6" t="s">
        <v>162</v>
      </c>
    </row>
    <row r="4" customFormat="false" ht="46.25" hidden="false" customHeight="false" outlineLevel="0" collapsed="false">
      <c r="A4" s="6" t="s">
        <v>80</v>
      </c>
      <c r="B4" s="6" t="s">
        <v>163</v>
      </c>
      <c r="C4" s="6" t="s">
        <v>164</v>
      </c>
      <c r="D4" s="6" t="s">
        <v>165</v>
      </c>
      <c r="E4" s="6" t="s">
        <v>166</v>
      </c>
      <c r="F4" s="6" t="s">
        <v>150</v>
      </c>
      <c r="G4" s="6" t="s">
        <v>151</v>
      </c>
      <c r="H4" s="6" t="s">
        <v>167</v>
      </c>
      <c r="I4" s="6" t="n">
        <v>3</v>
      </c>
      <c r="J4" s="6" t="n">
        <v>0</v>
      </c>
      <c r="K4" s="6"/>
      <c r="L4" s="6" t="s">
        <v>153</v>
      </c>
      <c r="M4" s="6" t="s">
        <v>83</v>
      </c>
      <c r="N4" s="6" t="s">
        <v>168</v>
      </c>
    </row>
    <row r="5" customFormat="false" ht="57.45" hidden="false" customHeight="false" outlineLevel="0" collapsed="false">
      <c r="A5" s="6" t="s">
        <v>91</v>
      </c>
      <c r="B5" s="6" t="s">
        <v>169</v>
      </c>
      <c r="C5" s="6" t="s">
        <v>170</v>
      </c>
      <c r="D5" s="6" t="s">
        <v>171</v>
      </c>
      <c r="E5" s="6" t="s">
        <v>172</v>
      </c>
      <c r="F5" s="6" t="s">
        <v>150</v>
      </c>
      <c r="G5" s="6" t="s">
        <v>151</v>
      </c>
      <c r="H5" s="6" t="s">
        <v>154</v>
      </c>
      <c r="I5" s="6" t="n">
        <v>3</v>
      </c>
      <c r="J5" s="6" t="n">
        <v>0</v>
      </c>
      <c r="K5" s="6"/>
      <c r="L5" s="6" t="s">
        <v>153</v>
      </c>
      <c r="M5" s="6" t="s">
        <v>54</v>
      </c>
      <c r="N5" s="6" t="s">
        <v>173</v>
      </c>
    </row>
    <row r="6" customFormat="false" ht="35.05" hidden="false" customHeight="false" outlineLevel="0" collapsed="false">
      <c r="A6" s="6" t="s">
        <v>101</v>
      </c>
      <c r="B6" s="6" t="s">
        <v>174</v>
      </c>
      <c r="C6" s="6" t="s">
        <v>175</v>
      </c>
      <c r="D6" s="6" t="s">
        <v>176</v>
      </c>
      <c r="E6" s="6" t="s">
        <v>177</v>
      </c>
      <c r="F6" s="6" t="s">
        <v>150</v>
      </c>
      <c r="G6" s="6" t="s">
        <v>151</v>
      </c>
      <c r="H6" s="6" t="s">
        <v>162</v>
      </c>
      <c r="I6" s="6" t="n">
        <v>8</v>
      </c>
      <c r="J6" s="6" t="n">
        <v>0</v>
      </c>
      <c r="K6" s="6"/>
      <c r="L6" s="6" t="s">
        <v>153</v>
      </c>
      <c r="M6" s="6" t="s">
        <v>54</v>
      </c>
      <c r="N6" s="6" t="s">
        <v>178</v>
      </c>
    </row>
    <row r="8" customFormat="false" ht="15" hidden="false" customHeight="false" outlineLevel="0" collapsed="false">
      <c r="A8" s="7" t="s">
        <v>179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180</v>
      </c>
      <c r="B9" s="7" t="n">
        <f aca="false">SUM(J2:J6)</f>
        <v>1</v>
      </c>
    </row>
    <row r="10" customFormat="false" ht="15" hidden="false" customHeight="false" outlineLevel="0" collapsed="false">
      <c r="A10" s="7" t="s">
        <v>181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182</v>
      </c>
      <c r="B1" s="5" t="s">
        <v>183</v>
      </c>
      <c r="C1" s="5" t="s">
        <v>184</v>
      </c>
      <c r="D1" s="5" t="s">
        <v>185</v>
      </c>
      <c r="E1" s="5" t="s">
        <v>186</v>
      </c>
      <c r="F1" s="5" t="s">
        <v>187</v>
      </c>
      <c r="G1" s="5" t="s">
        <v>188</v>
      </c>
      <c r="H1" s="5" t="s">
        <v>189</v>
      </c>
      <c r="I1" s="5" t="s">
        <v>190</v>
      </c>
      <c r="J1" s="5" t="s">
        <v>191</v>
      </c>
      <c r="K1" s="5" t="s">
        <v>192</v>
      </c>
      <c r="L1" s="5" t="s">
        <v>193</v>
      </c>
      <c r="M1" s="5" t="s">
        <v>194</v>
      </c>
      <c r="N1" s="5" t="s">
        <v>195</v>
      </c>
    </row>
    <row r="2" customFormat="false" ht="57.45" hidden="false" customHeight="false" outlineLevel="0" collapsed="false">
      <c r="A2" s="6" t="s">
        <v>196</v>
      </c>
      <c r="B2" s="6" t="s">
        <v>51</v>
      </c>
      <c r="C2" s="6" t="s">
        <v>159</v>
      </c>
      <c r="D2" s="6" t="s">
        <v>197</v>
      </c>
      <c r="E2" s="6" t="s">
        <v>198</v>
      </c>
      <c r="F2" s="6" t="s">
        <v>199</v>
      </c>
      <c r="G2" s="6" t="s">
        <v>200</v>
      </c>
      <c r="H2" s="6" t="s">
        <v>201</v>
      </c>
      <c r="I2" s="6" t="s">
        <v>202</v>
      </c>
      <c r="J2" s="6" t="s">
        <v>54</v>
      </c>
      <c r="K2" s="6" t="s">
        <v>203</v>
      </c>
      <c r="L2" s="6" t="s">
        <v>204</v>
      </c>
      <c r="M2" s="6" t="s">
        <v>205</v>
      </c>
      <c r="N2" s="6"/>
    </row>
    <row r="3" customFormat="false" ht="57.45" hidden="false" customHeight="false" outlineLevel="0" collapsed="false">
      <c r="A3" s="6" t="s">
        <v>206</v>
      </c>
      <c r="B3" s="6" t="s">
        <v>61</v>
      </c>
      <c r="C3" s="6" t="s">
        <v>207</v>
      </c>
      <c r="D3" s="6" t="s">
        <v>208</v>
      </c>
      <c r="E3" s="6" t="s">
        <v>209</v>
      </c>
      <c r="F3" s="6" t="s">
        <v>199</v>
      </c>
      <c r="G3" s="6" t="s">
        <v>210</v>
      </c>
      <c r="H3" s="6" t="s">
        <v>211</v>
      </c>
      <c r="I3" s="6" t="s">
        <v>212</v>
      </c>
      <c r="J3" s="6" t="s">
        <v>54</v>
      </c>
      <c r="K3" s="6" t="s">
        <v>213</v>
      </c>
      <c r="L3" s="6" t="s">
        <v>214</v>
      </c>
      <c r="M3" s="6" t="s">
        <v>215</v>
      </c>
      <c r="N3" s="6" t="s">
        <v>216</v>
      </c>
    </row>
    <row r="5" customFormat="false" ht="15" hidden="false" customHeight="false" outlineLevel="0" collapsed="false">
      <c r="A5" s="7" t="s">
        <v>217</v>
      </c>
      <c r="B5" s="7" t="n">
        <f aca="false">COUNTIF(L2:L3,"Open")+COUNTIF(L2:L3,"In Progress")</f>
        <v>1</v>
      </c>
    </row>
    <row r="6" customFormat="false" ht="15" hidden="false" customHeight="false" outlineLevel="0" collapsed="false">
      <c r="A6" s="7" t="s">
        <v>218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219</v>
      </c>
      <c r="B1" s="5" t="s">
        <v>220</v>
      </c>
      <c r="C1" s="5" t="s">
        <v>221</v>
      </c>
      <c r="D1" s="5" t="s">
        <v>222</v>
      </c>
      <c r="E1" s="5" t="s">
        <v>223</v>
      </c>
      <c r="F1" s="5" t="s">
        <v>224</v>
      </c>
      <c r="G1" s="5" t="s">
        <v>225</v>
      </c>
      <c r="H1" s="5" t="s">
        <v>226</v>
      </c>
      <c r="I1" s="5" t="s">
        <v>227</v>
      </c>
      <c r="J1" s="5" t="s">
        <v>228</v>
      </c>
      <c r="K1" s="5" t="s">
        <v>229</v>
      </c>
      <c r="L1" s="5" t="s">
        <v>230</v>
      </c>
      <c r="M1" s="5" t="s">
        <v>231</v>
      </c>
    </row>
    <row r="2" customFormat="false" ht="102.2" hidden="false" customHeight="false" outlineLevel="0" collapsed="false">
      <c r="A2" s="6" t="s">
        <v>232</v>
      </c>
      <c r="B2" s="6" t="s">
        <v>42</v>
      </c>
      <c r="C2" s="6" t="s">
        <v>233</v>
      </c>
      <c r="D2" s="6" t="s">
        <v>234</v>
      </c>
      <c r="E2" s="6" t="s">
        <v>235</v>
      </c>
      <c r="F2" s="6" t="s">
        <v>236</v>
      </c>
      <c r="G2" s="6" t="s">
        <v>237</v>
      </c>
      <c r="H2" s="6" t="s">
        <v>238</v>
      </c>
      <c r="I2" s="6" t="s">
        <v>239</v>
      </c>
      <c r="J2" s="6" t="s">
        <v>240</v>
      </c>
      <c r="K2" s="6" t="s">
        <v>241</v>
      </c>
      <c r="L2" s="6" t="s">
        <v>242</v>
      </c>
      <c r="M2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2026-09-07T13:22:51Z</dcterms:created>
  <dc:creator>openpyxl</dc:creator>
  <dc:description/>
  <dc:language>en-US</dc:language>
  <cp:lastModifiedBy/>
  <dcterms:modified xsi:type="dcterms:W3CDTF">2026-09-07T13:22:51Z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