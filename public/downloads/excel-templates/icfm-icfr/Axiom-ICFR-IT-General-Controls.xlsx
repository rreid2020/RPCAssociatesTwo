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4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Risk &amp; Control Matrix" sheetId="2" state="visible" r:id="rId4"/>
    <sheet name="Control Testing Tracker" sheetId="3" state="visible" r:id="rId5"/>
    <sheet name="Deficiency &amp; Remediation Log" sheetId="4" state="visible" r:id="rId6"/>
    <sheet name="Process Narrativ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<sst xmlns="http://schemas.openxmlformats.org/spreadsheetml/2006/main" count="324" uniqueCount="248">
  <si>
    <t xml:space="preserve">ICFM / ICFR Template — IT General Controls (ITGC)</t>
  </si>
  <si>
    <t xml:space="preserve">Internal Controls over Financial Management &amp; Reporting</t>
  </si>
  <si>
    <t xml:space="preserve">How to use this workbook</t>
  </si>
  <si>
    <t xml:space="preserve">This workbook is a starting-point framework for documenting and testing internal controls over financial reporting (ICFR), consistent with the COSO 2013 Internal Control – Integrated Framework and the approach commonly used for SOX Section 404 compliance. It is a template, not legal, audit, or compliance advice — adapt every field to your organization's actual processes, systems, and risk profile before relying on it.</t>
  </si>
  <si>
    <t xml:space="preserve">Tabs in this workbook:</t>
  </si>
  <si>
    <t xml:space="preserve">1. Risk &amp; Control Matrix (RCM) — maps key financial statement risks to the controls that address them, including control owner, type, nature, and frequency.</t>
  </si>
  <si>
    <t xml:space="preserve">2. Control Testing Tracker — documents walkthroughs and operating-effectiveness testing performed for each key control, sample sizes, and conclusions.</t>
  </si>
  <si>
    <t xml:space="preserve">3. Deficiency &amp; Remediation Log — logs control gaps identified through testing, rates severity, and tracks remediation to closure.</t>
  </si>
  <si>
    <t xml:space="preserve">4. Process Narratives — a structured, one-row-per-process write-up of how each in-scope financial process actually operates end to end.</t>
  </si>
  <si>
    <t xml:space="preserve">Color key:</t>
  </si>
  <si>
    <t xml:space="preserve">Yellow-shaded rows are illustrative examples for this industry — replace or extend them with your own facts. Blank rows below each example are ready for your data.</t>
  </si>
  <si>
    <t xml:space="preserve">Example rows below are illustrative starting points based on common risks and leading-practice controls for this process. They are not exhaustive and are not a substitute for a formal risk assessment of your organization's actual systems, materiality, and fraud risk.</t>
  </si>
  <si>
    <t xml:space="preserve">Suggested severity definitions (COSO / AS 2201):</t>
  </si>
  <si>
    <t xml:space="preserve">• Control Deficiency — a control is designed or operating in a way that does not allow management/employees to prevent or detect misstatements on a timely basis.</t>
  </si>
  <si>
    <t xml:space="preserve">• Significant Deficiency — a deficiency, or combination of deficiencies, less severe than a material weakness, yet important enough to merit attention by those responsible for oversight of financial reporting.</t>
  </si>
  <si>
    <t xml:space="preserve">• Material Weakness — a deficiency, or combination of deficiencies, such that there is a reasonable possibility that a material misstatement of the financial statements will not be prevented or detected on a timely basis.</t>
  </si>
  <si>
    <t xml:space="preserve">Process</t>
  </si>
  <si>
    <t xml:space="preserve">Sub-Process</t>
  </si>
  <si>
    <t xml:space="preserve">Risk ID</t>
  </si>
  <si>
    <t xml:space="preserve">Risk Description</t>
  </si>
  <si>
    <t xml:space="preserve">Financial Statement Assertion(s)</t>
  </si>
  <si>
    <t xml:space="preserve">COSO Component</t>
  </si>
  <si>
    <t xml:space="preserve">Control ID</t>
  </si>
  <si>
    <t xml:space="preserve">Control Description</t>
  </si>
  <si>
    <t xml:space="preserve">Control Type
(Preventive/Detective)</t>
  </si>
  <si>
    <t xml:space="preserve">Control Nature
(Manual/Automated/IT-Dependent)</t>
  </si>
  <si>
    <t xml:space="preserve">Frequency</t>
  </si>
  <si>
    <t xml:space="preserve">Control Owner</t>
  </si>
  <si>
    <t xml:space="preserve">Key Control
(Y/N)</t>
  </si>
  <si>
    <t xml:space="preserve">Evidence / Documentation</t>
  </si>
  <si>
    <t xml:space="preserve">Systems / Applications</t>
  </si>
  <si>
    <t xml:space="preserve">Access Management</t>
  </si>
  <si>
    <t xml:space="preserve">User Access Provisioning</t>
  </si>
  <si>
    <t xml:space="preserve">ITGC-R01</t>
  </si>
  <si>
    <t xml:space="preserve">New user access to financial systems is granted without proper authorization or at an inappropriate access level</t>
  </si>
  <si>
    <t xml:space="preserve">Existence/Occurrence</t>
  </si>
  <si>
    <t xml:space="preserve">Control Activities</t>
  </si>
  <si>
    <t xml:space="preserve">ITGC-C01</t>
  </si>
  <si>
    <t xml:space="preserve">New user access requests require manager and system-owner approval specifying the requested role before provisioning; IT Security provisions access only upon approved request</t>
  </si>
  <si>
    <t xml:space="preserve">Preventive</t>
  </si>
  <si>
    <t xml:space="preserve">IT-Dependent Manual</t>
  </si>
  <si>
    <t xml:space="preserve">Per Request</t>
  </si>
  <si>
    <t xml:space="preserve">IT Security Manager</t>
  </si>
  <si>
    <t xml:space="preserve">Y</t>
  </si>
  <si>
    <t xml:space="preserve">Approved access request form; provisioning ticket</t>
  </si>
  <si>
    <t xml:space="preserve">Identity &amp; Access Management (IAM) System</t>
  </si>
  <si>
    <t xml:space="preserve">User Access Deprovisioning</t>
  </si>
  <si>
    <t xml:space="preserve">ITGC-R02</t>
  </si>
  <si>
    <t xml:space="preserve">Access for terminated employees or contractors is not removed timely, allowing unauthorized access to financial systems</t>
  </si>
  <si>
    <t xml:space="preserve">ITGC-C02</t>
  </si>
  <si>
    <t xml:space="preserve">HR notifies IT Security of terminations via an automated feed or termination ticket; access to all financial systems is removed within 24 hours of the termination effective date</t>
  </si>
  <si>
    <t xml:space="preserve">Detective</t>
  </si>
  <si>
    <t xml:space="preserve">Per Termination</t>
  </si>
  <si>
    <t xml:space="preserve">Termination ticket with access removal timestamp</t>
  </si>
  <si>
    <t xml:space="preserve">IAM System, HRIS</t>
  </si>
  <si>
    <t xml:space="preserve">Periodic Access Recertification</t>
  </si>
  <si>
    <t xml:space="preserve">ITGC-R03</t>
  </si>
  <si>
    <t xml:space="preserve">Users retain access that is no longer appropriate for their current role, creating unauthorized access or segregation-of-duties conflicts</t>
  </si>
  <si>
    <t xml:space="preserve">ITGC-C03</t>
  </si>
  <si>
    <t xml:space="preserve">System owners perform a quarterly recertification of all user access to in-scope financial systems, confirming continued business need; access no longer needed is removed within the review cycle</t>
  </si>
  <si>
    <t xml:space="preserve">Manual</t>
  </si>
  <si>
    <t xml:space="preserve">Quarterly</t>
  </si>
  <si>
    <t xml:space="preserve">System Owners / IT Security Manager</t>
  </si>
  <si>
    <t xml:space="preserve">Completed access recertification with sign-off</t>
  </si>
  <si>
    <t xml:space="preserve">IAM System</t>
  </si>
  <si>
    <t xml:space="preserve">Privileged / Administrative Access</t>
  </si>
  <si>
    <t xml:space="preserve">ITGC-R04</t>
  </si>
  <si>
    <t xml:space="preserve">Privileged (admin/superuser) access to financial systems and databases is not adequately restricted or monitored, enabling unauthorized changes to data or configuration</t>
  </si>
  <si>
    <t xml:space="preserve">ITGC-C04</t>
  </si>
  <si>
    <t xml:space="preserve">Privileged access is restricted to a limited list of authorized administrators, requires additional approval to grant, and privileged activity logs are reviewed periodically</t>
  </si>
  <si>
    <t xml:space="preserve">Preventive/Detective</t>
  </si>
  <si>
    <t xml:space="preserve">Privileged access list; activity log review</t>
  </si>
  <si>
    <t xml:space="preserve">IAM System, Database/Server Logs</t>
  </si>
  <si>
    <t xml:space="preserve">Change Management</t>
  </si>
  <si>
    <t xml:space="preserve">Application Change Control</t>
  </si>
  <si>
    <t xml:space="preserve">ITGC-R05</t>
  </si>
  <si>
    <t xml:space="preserve">Unauthorized or untested changes to financially relevant applications cause processing errors or enable fraud</t>
  </si>
  <si>
    <t xml:space="preserve">Accuracy/Valuation</t>
  </si>
  <si>
    <t xml:space="preserve">ITGC-C05</t>
  </si>
  <si>
    <t xml:space="preserve">Changes to financially relevant systems follow a documented change-management process requiring a change request, testing evidence, and approval before deployment, with segregation between developers and personnel who migrate code to production</t>
  </si>
  <si>
    <t xml:space="preserve">Per Change</t>
  </si>
  <si>
    <t xml:space="preserve">IT Director</t>
  </si>
  <si>
    <t xml:space="preserve">Change ticket with testing evidence and approvals</t>
  </si>
  <si>
    <t xml:space="preserve">Change Management System / ITSM</t>
  </si>
  <si>
    <t xml:space="preserve">Emergency Change Control</t>
  </si>
  <si>
    <t xml:space="preserve">ITGC-R06</t>
  </si>
  <si>
    <t xml:space="preserve">Emergency changes bypass normal testing and approval, increasing the risk of unauthorized or erroneous changes</t>
  </si>
  <si>
    <t xml:space="preserve">Accuracy/Existence</t>
  </si>
  <si>
    <t xml:space="preserve">ITGC-C06</t>
  </si>
  <si>
    <t xml:space="preserve">Emergency changes require post-implementation review and approval by IT management within a defined period after deployment, and are logged separately for retrospective review</t>
  </si>
  <si>
    <t xml:space="preserve">Per Emergency Change</t>
  </si>
  <si>
    <t xml:space="preserve">N</t>
  </si>
  <si>
    <t xml:space="preserve">Emergency change log with retrospective approval</t>
  </si>
  <si>
    <t xml:space="preserve">System Development</t>
  </si>
  <si>
    <t xml:space="preserve">New System Implementation / Major Upgrade</t>
  </si>
  <si>
    <t xml:space="preserve">ITGC-R07</t>
  </si>
  <si>
    <t xml:space="preserve">New systems or major upgrades affecting financial reporting are implemented without adequate testing, data conversion validation, or go-live approval</t>
  </si>
  <si>
    <t xml:space="preserve">Existence/Accuracy</t>
  </si>
  <si>
    <t xml:space="preserve">ITGC-C07</t>
  </si>
  <si>
    <t xml:space="preserve">New system implementations and major upgrades follow a documented project methodology including user acceptance testing, data conversion validation (e.g., reconciliation of converted balances), and formal go-live approval by the process owner and IT</t>
  </si>
  <si>
    <t xml:space="preserve">Per Project</t>
  </si>
  <si>
    <t xml:space="preserve">IT Director / Controller</t>
  </si>
  <si>
    <t xml:space="preserve">UAT sign-off; data conversion reconciliation; go-live approval</t>
  </si>
  <si>
    <t xml:space="preserve">Project Management Tool</t>
  </si>
  <si>
    <t xml:space="preserve">Computer Operations</t>
  </si>
  <si>
    <t xml:space="preserve">Batch Job / Interface Monitoring</t>
  </si>
  <si>
    <t xml:space="preserve">ITGC-R08</t>
  </si>
  <si>
    <t xml:space="preserve">Scheduled jobs or interfaces that move financial data between systems fail or run incompletely without detection, causing incomplete or inaccurate data</t>
  </si>
  <si>
    <t xml:space="preserve">Completeness/Accuracy</t>
  </si>
  <si>
    <t xml:space="preserve">ITGC-C08</t>
  </si>
  <si>
    <t xml:space="preserve">Critical batch jobs and interfaces are monitored daily with automated failure alerts; failures are investigated and resolved, with re-runs documented</t>
  </si>
  <si>
    <t xml:space="preserve">Automated</t>
  </si>
  <si>
    <t xml:space="preserve">Daily</t>
  </si>
  <si>
    <t xml:space="preserve">IT Operations Manager</t>
  </si>
  <si>
    <t xml:space="preserve">Job monitoring dashboard; failure/resolution log</t>
  </si>
  <si>
    <t xml:space="preserve">Job Scheduler, Middleware/Integration Platform</t>
  </si>
  <si>
    <t xml:space="preserve">Data Backup &amp; Recovery</t>
  </si>
  <si>
    <t xml:space="preserve">Backup &amp; Disaster Recovery</t>
  </si>
  <si>
    <t xml:space="preserve">ITGC-R09</t>
  </si>
  <si>
    <t xml:space="preserve">Financial data is lost or unrecoverable following a system failure, disaster, or ransomware event, disrupting financial reporting</t>
  </si>
  <si>
    <t xml:space="preserve">Existence/Completeness</t>
  </si>
  <si>
    <t xml:space="preserve">ITGC-C09</t>
  </si>
  <si>
    <t xml:space="preserve">Financial systems and data are backed up per a defined schedule; backup restoration is tested at least annually and disaster recovery procedures are documented and tested</t>
  </si>
  <si>
    <t xml:space="preserve">Detective/Preventive</t>
  </si>
  <si>
    <t xml:space="preserve">Daily Backup / Annual DR Test</t>
  </si>
  <si>
    <t xml:space="preserve">Backup completion log; DR test results</t>
  </si>
  <si>
    <t xml:space="preserve">Backup System, DR Plan</t>
  </si>
  <si>
    <t xml:space="preserve">Segregation of Duties</t>
  </si>
  <si>
    <t xml:space="preserve">IT Role Access &amp; Developer Restrictions</t>
  </si>
  <si>
    <t xml:space="preserve">ITGC-R10</t>
  </si>
  <si>
    <t xml:space="preserve">Developers or IT staff have direct access to modify production financial data or make unauthorized changes without independent oversight</t>
  </si>
  <si>
    <t xml:space="preserve">ITGC-C10</t>
  </si>
  <si>
    <t xml:space="preserve">Developers do not have the ability to migrate their own code to the production environment; production data access for IT staff is logged and reviewed, and any direct data changes require independent approval and are documented</t>
  </si>
  <si>
    <t xml:space="preserve">Ongoing / Quarterly Review</t>
  </si>
  <si>
    <t xml:space="preserve">Segregated migration access configuration; direct data change log review</t>
  </si>
  <si>
    <t xml:space="preserve">Change Management System, Production Environment</t>
  </si>
  <si>
    <t xml:space="preserve">Total Controls Documented:</t>
  </si>
  <si>
    <t xml:space="preserve">Key Controls (Y):</t>
  </si>
  <si>
    <t xml:space="preserve">Test Objective</t>
  </si>
  <si>
    <t xml:space="preserve">Test Procedure</t>
  </si>
  <si>
    <t xml:space="preserve">Sample Size / Methodology</t>
  </si>
  <si>
    <t xml:space="preserve">Testing Period</t>
  </si>
  <si>
    <t xml:space="preserve">Tester</t>
  </si>
  <si>
    <t xml:space="preserve">Test Date</t>
  </si>
  <si>
    <t xml:space="preserve"># Sampled</t>
  </si>
  <si>
    <t xml:space="preserve"># Exceptions</t>
  </si>
  <si>
    <t xml:space="preserve">Exception Description</t>
  </si>
  <si>
    <t xml:space="preserve">Conclusion</t>
  </si>
  <si>
    <t xml:space="preserve">Reviewer</t>
  </si>
  <si>
    <t xml:space="preserve">Review Date</t>
  </si>
  <si>
    <t xml:space="preserve">New user access approval before provisioning</t>
  </si>
  <si>
    <t xml:space="preserve">Confirm new access to financial systems is approved before being granted</t>
  </si>
  <si>
    <t xml:space="preserve">Select a sample of new user access requests provisioned in the period; inspect the approved request form and confirm access granted matches what was approved</t>
  </si>
  <si>
    <t xml:space="preserve">Judgmental, 20 requests</t>
  </si>
  <si>
    <t xml:space="preserve">Q2 2026</t>
  </si>
  <si>
    <t xml:space="preserve">M. Reyes</t>
  </si>
  <si>
    <t xml:space="preserve">2026-07-14</t>
  </si>
  <si>
    <t xml:space="preserve">Effective</t>
  </si>
  <si>
    <t xml:space="preserve">2026-07-17</t>
  </si>
  <si>
    <t xml:space="preserve">Timely deprovisioning of terminated users</t>
  </si>
  <si>
    <t xml:space="preserve">Confirm access for terminated employees is removed within 24 hours of termination</t>
  </si>
  <si>
    <t xml:space="preserve">Obtain the termination listing for the period; select a sample and agree the access removal timestamp in the IAM system to the termination effective date, confirming removal within 24 hours</t>
  </si>
  <si>
    <t xml:space="preserve">Judgmental, 15 terminations</t>
  </si>
  <si>
    <t xml:space="preserve">2026-07-15</t>
  </si>
  <si>
    <t xml:space="preserve">One terminated contractor's access was removed 40 hours after the termination date due to a delayed notification from the staffing agency</t>
  </si>
  <si>
    <t xml:space="preserve">Effective with Exception</t>
  </si>
  <si>
    <t xml:space="preserve">2026-07-18</t>
  </si>
  <si>
    <t xml:space="preserve">Quarterly access recertification completeness</t>
  </si>
  <si>
    <t xml:space="preserve">Confirm all in-scope systems and users were included in the quarterly recertification</t>
  </si>
  <si>
    <t xml:space="preserve">Obtain the completed recertification for the quarter; recompute completeness of the user population against the IAM system of record and inspect system owner sign-off</t>
  </si>
  <si>
    <t xml:space="preserve">Full population, 1 quarterly cycle</t>
  </si>
  <si>
    <t xml:space="preserve">2026-07-16</t>
  </si>
  <si>
    <t xml:space="preserve">2026-07-19</t>
  </si>
  <si>
    <t xml:space="preserve">Change management testing and approval</t>
  </si>
  <si>
    <t xml:space="preserve">Confirm changes to financially relevant systems were tested and approved before deployment, with segregated migration</t>
  </si>
  <si>
    <t xml:space="preserve">Select a sample of production changes deployed in the period; inspect the change ticket for testing evidence, approval, and confirm the deployer is independent of the developer</t>
  </si>
  <si>
    <t xml:space="preserve">Judgmental, 20 changes</t>
  </si>
  <si>
    <t xml:space="preserve">2026-07-20</t>
  </si>
  <si>
    <t xml:space="preserve">Batch job / interface failure monitoring</t>
  </si>
  <si>
    <t xml:space="preserve">Confirm critical batch job failures are detected and resolved timely</t>
  </si>
  <si>
    <t xml:space="preserve">Select a sample of critical jobs/interfaces over a 2-month period; inspect the monitoring dashboard and confirm failures were investigated, resolved, and re-runs documented</t>
  </si>
  <si>
    <t xml:space="preserve">Judgmental, 15 job-days</t>
  </si>
  <si>
    <t xml:space="preserve">2026-07-21</t>
  </si>
  <si>
    <t xml:space="preserve">Controls Tested:</t>
  </si>
  <si>
    <t xml:space="preserve">Exceptions Noted:</t>
  </si>
  <si>
    <t xml:space="preserve">Controls Concluded Ineffective:</t>
  </si>
  <si>
    <t xml:space="preserve">Deficiency ID</t>
  </si>
  <si>
    <t xml:space="preserve">Related Control ID</t>
  </si>
  <si>
    <t xml:space="preserve">Date Identified</t>
  </si>
  <si>
    <t xml:space="preserve">Deficiency Description</t>
  </si>
  <si>
    <t xml:space="preserve">Root Cause</t>
  </si>
  <si>
    <t xml:space="preserve">Severity</t>
  </si>
  <si>
    <t xml:space="preserve">Financial Statement Impact</t>
  </si>
  <si>
    <t xml:space="preserve">Compensating Controls</t>
  </si>
  <si>
    <t xml:space="preserve">Remediation Plan</t>
  </si>
  <si>
    <t xml:space="preserve">Remediation Owner</t>
  </si>
  <si>
    <t xml:space="preserve">Target Completion Date</t>
  </si>
  <si>
    <t xml:space="preserve">Status</t>
  </si>
  <si>
    <t xml:space="preserve">Retest Date</t>
  </si>
  <si>
    <t xml:space="preserve">Retest Result</t>
  </si>
  <si>
    <t xml:space="preserve">ITGC-D01</t>
  </si>
  <si>
    <t xml:space="preserve">One terminated contractor's access to the ERP was removed 40 hours after termination instead of within the 24-hour policy</t>
  </si>
  <si>
    <t xml:space="preserve">The staffing agency notified HR of the termination two days after the effective date, delaying the downstream IT ticket</t>
  </si>
  <si>
    <t xml:space="preserve">Control Deficiency</t>
  </si>
  <si>
    <t xml:space="preserve">Low - no evidence of inappropriate system activity during the gap period</t>
  </si>
  <si>
    <t xml:space="preserve">Quarterly access recertification would have caught the access in the next cycle</t>
  </si>
  <si>
    <t xml:space="preserve">Require staffing agencies to notify HR of contractor terminations within 4 business hours per the vendor agreement, and add a same-day contractor status check to the offboarding checklist</t>
  </si>
  <si>
    <t xml:space="preserve">2026-08-31</t>
  </si>
  <si>
    <t xml:space="preserve">Open</t>
  </si>
  <si>
    <t xml:space="preserve">ITGC-D02</t>
  </si>
  <si>
    <t xml:space="preserve">2026-04-20</t>
  </si>
  <si>
    <t xml:space="preserve">Two emergency changes to the revenue recognition module were deployed without a documented post-implementation review within the required 5-business-day window</t>
  </si>
  <si>
    <t xml:space="preserve">IT Operations prioritized incident resolution over completing the retrospective documentation during a high-volume period</t>
  </si>
  <si>
    <t xml:space="preserve">Significant Deficiency</t>
  </si>
  <si>
    <t xml:space="preserve">Moderate - changes were later confirmed to be correctly implemented, but timely independent review evidence was missing</t>
  </si>
  <si>
    <t xml:space="preserve">Monthly change log review by the IT Director</t>
  </si>
  <si>
    <t xml:space="preserve">Add an automated reminder/escalation in the ITSM tool when an emergency change's post-implementation review is not completed within the SLA</t>
  </si>
  <si>
    <t xml:space="preserve">2026-08-15</t>
  </si>
  <si>
    <t xml:space="preserve">Remediated</t>
  </si>
  <si>
    <t xml:space="preserve">2026-08-10</t>
  </si>
  <si>
    <t xml:space="preserve">Effective - automated escalation implemented and tested on subsequent emergency changes</t>
  </si>
  <si>
    <t xml:space="preserve">Open Items:</t>
  </si>
  <si>
    <t xml:space="preserve">Material Weaknesses Logged:</t>
  </si>
  <si>
    <t xml:space="preserve">Process Name</t>
  </si>
  <si>
    <t xml:space="preserve">Process Owner</t>
  </si>
  <si>
    <t xml:space="preserve">Process Objective</t>
  </si>
  <si>
    <t xml:space="preserve">Process Description (Step-by-Step)</t>
  </si>
  <si>
    <t xml:space="preserve">Systems / Applications Used</t>
  </si>
  <si>
    <t xml:space="preserve">Key Inputs</t>
  </si>
  <si>
    <t xml:space="preserve">Key Outputs</t>
  </si>
  <si>
    <t xml:space="preserve">Related Control ID(s)</t>
  </si>
  <si>
    <t xml:space="preserve">Risks Addressed</t>
  </si>
  <si>
    <t xml:space="preserve">Segregation of Duties Considerations</t>
  </si>
  <si>
    <t xml:space="preserve">Related Policies / Procedures</t>
  </si>
  <si>
    <t xml:space="preserve">Last Reviewed Date</t>
  </si>
  <si>
    <t xml:space="preserve">Reviewed By</t>
  </si>
  <si>
    <t xml:space="preserve">IT General Controls</t>
  </si>
  <si>
    <t xml:space="preserve">IT Director / IT Security Manager</t>
  </si>
  <si>
    <t xml:space="preserve">Ensure access to financially relevant systems is appropriately restricted, changes are properly authorized and tested, and system operations supporting financial reporting are reliable</t>
  </si>
  <si>
    <t xml:space="preserve">1) Access requests submitted and approved per role; 2) Provisioning performed by IT Security; 3) Quarterly access recertification performed by system owners; 4) System changes developed, tested, and approved via change ticket; 5) Segregated migration to production; 6) Batch jobs/interfaces monitored daily; 7) Data backed up and disaster recovery tested annually</t>
  </si>
  <si>
    <t xml:space="preserve">Identity &amp; Access Management System, ITSM/Change Management Tool, Job Scheduler, Backup System</t>
  </si>
  <si>
    <t xml:space="preserve">Access requests, change requests, HR termination reports, job schedules</t>
  </si>
  <si>
    <t xml:space="preserve">Provisioned/deprovisioned accounts, deployed system changes, job completion logs</t>
  </si>
  <si>
    <t xml:space="preserve">ITGC-C01 through ITGC-C09</t>
  </si>
  <si>
    <t xml:space="preserve">Unauthorized access; unauthorized or erroneous system changes affecting financial data; data loss or unavailability</t>
  </si>
  <si>
    <t xml:space="preserve">Developers cannot migrate their own code to production; access provisioners cannot self-approve requests; production data access is logged and independently reviewed</t>
  </si>
  <si>
    <t xml:space="preserve">Access Management Policy; Change Management Policy; Backup &amp; DR Policy</t>
  </si>
  <si>
    <t xml:space="preserve">2026-06-01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</si>
</sst>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i val="true"/>
      <sz val="12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ontrolTestingTracker" displayName="ControlTestingTracker" ref="A1:N6" headerRowCount="1" totalsRowCount="0" totalsRowShown="0">
  <autoFilter ref="A1:N6"/>
  <tableColumns count="14">
    <tableColumn id="1" name="Control ID"/>
    <tableColumn id="2" name="Control Description"/>
    <tableColumn id="3" name="Test Objective"/>
    <tableColumn id="4" name="Test Procedure"/>
    <tableColumn id="5" name="Sample Size / Methodology"/>
    <tableColumn id="6" name="Testing Period"/>
    <tableColumn id="7" name="Tester"/>
    <tableColumn id="8" name="Test Date"/>
    <tableColumn id="9" name="# Sampled"/>
    <tableColumn id="10" name="# Exceptions"/>
    <tableColumn id="11" name="Exception Description"/>
    <tableColumn id="12" name="Conclusion"/>
    <tableColumn id="13" name="Reviewer"/>
    <tableColumn id="14" name="Review Date"/>
  </tableColumns>
</table>
</file>

<file path=xl/tables/table2.xml><?xml version="1.0" encoding="utf-8"?>
<table xmlns="http://schemas.openxmlformats.org/spreadsheetml/2006/main" id="2" name="DeficiencyLog" displayName="DeficiencyLog" ref="A1:N3" headerRowCount="1" totalsRowCount="0" totalsRowShown="0">
  <autoFilter ref="A1:N3"/>
  <tableColumns count="14">
    <tableColumn id="1" name="Deficiency ID"/>
    <tableColumn id="2" name="Related Control ID"/>
    <tableColumn id="3" name="Date Identified"/>
    <tableColumn id="4" name="Deficiency Description"/>
    <tableColumn id="5" name="Root Cause"/>
    <tableColumn id="6" name="Severity"/>
    <tableColumn id="7" name="Financial Statement Impact"/>
    <tableColumn id="8" name="Compensating Controls"/>
    <tableColumn id="9" name="Remediation Plan"/>
    <tableColumn id="10" name="Remediation Owner"/>
    <tableColumn id="11" name="Target Completion Date"/>
    <tableColumn id="12" name="Status"/>
    <tableColumn id="13" name="Retest Date"/>
    <tableColumn id="14" name="Retest Result"/>
  </tableColumns>
</table>
</file>

<file path=xl/tables/table3.xml><?xml version="1.0" encoding="utf-8"?>
<table xmlns="http://schemas.openxmlformats.org/spreadsheetml/2006/main" id="3" name="ProcessNarratives" displayName="ProcessNarratives" ref="A1:M2" headerRowCount="1" totalsRowCount="0" totalsRowShown="0">
  <autoFilter ref="A1:M2"/>
  <tableColumns count="13">
    <tableColumn id="1" name="Process Name"/>
    <tableColumn id="2" name="Process Owner"/>
    <tableColumn id="3" name="Process Objective"/>
    <tableColumn id="4" name="Process Description (Step-by-Step)"/>
    <tableColumn id="5" name="Systems / Applications Used"/>
    <tableColumn id="6" name="Key Inputs"/>
    <tableColumn id="7" name="Key Outputs"/>
    <tableColumn id="8" name="Related Control ID(s)"/>
    <tableColumn id="9" name="Risks Addressed"/>
    <tableColumn id="10" name="Segregation of Duties Considerations"/>
    <tableColumn id="11" name="Related Policies / Procedures"/>
    <tableColumn id="12" name="Last Reviewed Date"/>
    <tableColumn id="13" name="Reviewed By"/>
  </tableColumns>
</table>
</file>

<file path=xl/tables/table4.xml><?xml version="1.0" encoding="utf-8"?>
<table xmlns="http://schemas.openxmlformats.org/spreadsheetml/2006/main" id="4" name="RiskControlMatrix" displayName="RiskControlMatrix" ref="A1:O11" headerRowCount="1" totalsRowCount="0" totalsRowShown="0">
  <autoFilter ref="A1:O11"/>
  <tableColumns count="15">
    <tableColumn id="1" name="Process"/>
    <tableColumn id="2" name="Sub-Process"/>
    <tableColumn id="3" name="Risk ID"/>
    <tableColumn id="4" name="Risk Description"/>
    <tableColumn id="5" name="Financial Statement Assertion(s)"/>
    <tableColumn id="6" name="COSO Component"/>
    <tableColumn id="7" name="Control ID"/>
    <tableColumn id="8" name="Control Description"/>
    <tableColumn id="9" name="Control Type&#10;(Preventive/Detective)"/>
    <tableColumn id="10" name="Control Nature&#10;(Manual/Automated/IT-Dependent)"/>
    <tableColumn id="11" name="Frequency"/>
    <tableColumn id="12" name="Control Owner"/>
    <tableColumn id="13" name="Key Control&#10;(Y/N)"/>
    <tableColumn id="14" name="Evidence / Documentation"/>
    <tableColumn id="15" name="Systems / Application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45" hidden="false" customHeight="true" outlineLevel="0" collapsed="false">
      <c r="B6" s="4" t="s">
        <v>3</v>
      </c>
    </row>
    <row r="7" customFormat="false" ht="15" hidden="false" customHeight="false" outlineLevel="0" collapsed="false">
      <c r="B7" s="4"/>
    </row>
    <row r="8" customFormat="false" ht="15" hidden="false" customHeight="false" outlineLevel="0" collapsed="false">
      <c r="B8" s="3" t="s">
        <v>4</v>
      </c>
    </row>
    <row r="9" customFormat="false" ht="45" hidden="false" customHeight="true" outlineLevel="0" collapsed="false">
      <c r="B9" s="4" t="s">
        <v>5</v>
      </c>
    </row>
    <row r="10" customFormat="false" ht="45" hidden="false" customHeight="true" outlineLevel="0" collapsed="false">
      <c r="B10" s="4" t="s">
        <v>6</v>
      </c>
    </row>
    <row r="11" customFormat="false" ht="45" hidden="false" customHeight="true" outlineLevel="0" collapsed="false">
      <c r="B11" s="4" t="s">
        <v>7</v>
      </c>
    </row>
    <row r="12" customFormat="false" ht="45" hidden="false" customHeight="true" outlineLevel="0" collapsed="false">
      <c r="B12" s="4" t="s">
        <v>8</v>
      </c>
    </row>
    <row r="13" customFormat="false" ht="15" hidden="false" customHeight="false" outlineLevel="0" collapsed="false">
      <c r="B13" s="4"/>
    </row>
    <row r="14" customFormat="false" ht="15" hidden="false" customHeight="false" outlineLevel="0" collapsed="false">
      <c r="B14" s="3" t="s">
        <v>9</v>
      </c>
    </row>
    <row r="15" customFormat="false" ht="45" hidden="false" customHeight="true" outlineLevel="0" collapsed="false">
      <c r="B15" s="4" t="s">
        <v>10</v>
      </c>
    </row>
    <row r="16" customFormat="false" ht="15" hidden="false" customHeight="false" outlineLevel="0" collapsed="false">
      <c r="B16" s="4"/>
    </row>
    <row r="17" customFormat="false" ht="45" hidden="false" customHeight="true" outlineLevel="0" collapsed="false">
      <c r="B17" s="4" t="s">
        <v>11</v>
      </c>
    </row>
    <row r="18" customFormat="false" ht="15" hidden="false" customHeight="false" outlineLevel="0" collapsed="false">
      <c r="B18" s="4"/>
    </row>
    <row r="19" customFormat="false" ht="15" hidden="false" customHeight="false" outlineLevel="0" collapsed="false">
      <c r="B19" s="3" t="s">
        <v>12</v>
      </c>
    </row>
    <row r="20" customFormat="false" ht="23.85" hidden="false" customHeight="false" outlineLevel="0" collapsed="false">
      <c r="B20" s="4" t="s">
        <v>13</v>
      </c>
    </row>
    <row r="21" customFormat="false" ht="23.85" hidden="false" customHeight="false" outlineLevel="0" collapsed="false">
      <c r="B21" s="4" t="s">
        <v>14</v>
      </c>
    </row>
    <row r="22" customFormat="false" ht="23.85" hidden="false" customHeight="false" outlineLevel="0" collapsed="false">
      <c r="B22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9"/>
    <col collapsed="false" customWidth="true" hidden="false" outlineLevel="0" max="4" min="4" style="0" width="34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0"/>
    <col collapsed="false" customWidth="true" hidden="false" outlineLevel="0" max="8" min="8" style="0" width="42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2" min="12" style="0" width="20"/>
    <col collapsed="false" customWidth="true" hidden="false" outlineLevel="0" max="13" min="13" style="0" width="10"/>
    <col collapsed="false" customWidth="true" hidden="false" outlineLevel="0" max="14" min="14" style="0" width="26"/>
    <col collapsed="false" customWidth="true" hidden="false" outlineLevel="0" max="15" min="15" style="0" width="20"/>
  </cols>
  <sheetData>
    <row r="1" customFormat="false" ht="30" hidden="false" customHeight="true" outlineLevel="0" collapsed="false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</row>
    <row r="2" customFormat="false" ht="46.25" hidden="false" customHeight="false" outlineLevel="0" collapsed="false">
      <c r="A2" s="6" t="s">
        <v>31</v>
      </c>
      <c r="B2" s="6" t="s">
        <v>32</v>
      </c>
      <c r="C2" s="6" t="s">
        <v>33</v>
      </c>
      <c r="D2" s="6" t="s">
        <v>34</v>
      </c>
      <c r="E2" s="6" t="s">
        <v>35</v>
      </c>
      <c r="F2" s="6" t="s">
        <v>36</v>
      </c>
      <c r="G2" s="6" t="s">
        <v>37</v>
      </c>
      <c r="H2" s="6" t="s">
        <v>38</v>
      </c>
      <c r="I2" s="6" t="s">
        <v>39</v>
      </c>
      <c r="J2" s="6" t="s">
        <v>40</v>
      </c>
      <c r="K2" s="6" t="s">
        <v>41</v>
      </c>
      <c r="L2" s="6" t="s">
        <v>42</v>
      </c>
      <c r="M2" s="6" t="s">
        <v>43</v>
      </c>
      <c r="N2" s="6" t="s">
        <v>44</v>
      </c>
      <c r="O2" s="6" t="s">
        <v>45</v>
      </c>
    </row>
    <row r="3" customFormat="false" ht="46.25" hidden="false" customHeight="false" outlineLevel="0" collapsed="false">
      <c r="A3" s="6" t="s">
        <v>31</v>
      </c>
      <c r="B3" s="6" t="s">
        <v>46</v>
      </c>
      <c r="C3" s="6" t="s">
        <v>47</v>
      </c>
      <c r="D3" s="6" t="s">
        <v>48</v>
      </c>
      <c r="E3" s="6" t="s">
        <v>35</v>
      </c>
      <c r="F3" s="6" t="s">
        <v>36</v>
      </c>
      <c r="G3" s="6" t="s">
        <v>49</v>
      </c>
      <c r="H3" s="6" t="s">
        <v>50</v>
      </c>
      <c r="I3" s="6" t="s">
        <v>51</v>
      </c>
      <c r="J3" s="6" t="s">
        <v>40</v>
      </c>
      <c r="K3" s="6" t="s">
        <v>52</v>
      </c>
      <c r="L3" s="6" t="s">
        <v>42</v>
      </c>
      <c r="M3" s="6" t="s">
        <v>43</v>
      </c>
      <c r="N3" s="6" t="s">
        <v>53</v>
      </c>
      <c r="O3" s="6" t="s">
        <v>54</v>
      </c>
    </row>
    <row r="4" customFormat="false" ht="46.25" hidden="false" customHeight="false" outlineLevel="0" collapsed="false">
      <c r="A4" s="6" t="s">
        <v>31</v>
      </c>
      <c r="B4" s="6" t="s">
        <v>55</v>
      </c>
      <c r="C4" s="6" t="s">
        <v>56</v>
      </c>
      <c r="D4" s="6" t="s">
        <v>57</v>
      </c>
      <c r="E4" s="6" t="s">
        <v>35</v>
      </c>
      <c r="F4" s="6" t="s">
        <v>36</v>
      </c>
      <c r="G4" s="6" t="s">
        <v>58</v>
      </c>
      <c r="H4" s="6" t="s">
        <v>59</v>
      </c>
      <c r="I4" s="6" t="s">
        <v>51</v>
      </c>
      <c r="J4" s="6" t="s">
        <v>60</v>
      </c>
      <c r="K4" s="6" t="s">
        <v>61</v>
      </c>
      <c r="L4" s="6" t="s">
        <v>62</v>
      </c>
      <c r="M4" s="6" t="s">
        <v>43</v>
      </c>
      <c r="N4" s="6" t="s">
        <v>63</v>
      </c>
      <c r="O4" s="6" t="s">
        <v>64</v>
      </c>
    </row>
    <row r="5" customFormat="false" ht="57.45" hidden="false" customHeight="false" outlineLevel="0" collapsed="false">
      <c r="A5" s="6" t="s">
        <v>31</v>
      </c>
      <c r="B5" s="6" t="s">
        <v>65</v>
      </c>
      <c r="C5" s="6" t="s">
        <v>66</v>
      </c>
      <c r="D5" s="6" t="s">
        <v>67</v>
      </c>
      <c r="E5" s="6" t="s">
        <v>35</v>
      </c>
      <c r="F5" s="6" t="s">
        <v>36</v>
      </c>
      <c r="G5" s="6" t="s">
        <v>68</v>
      </c>
      <c r="H5" s="6" t="s">
        <v>69</v>
      </c>
      <c r="I5" s="6" t="s">
        <v>70</v>
      </c>
      <c r="J5" s="6" t="s">
        <v>40</v>
      </c>
      <c r="K5" s="6" t="s">
        <v>61</v>
      </c>
      <c r="L5" s="6" t="s">
        <v>42</v>
      </c>
      <c r="M5" s="6" t="s">
        <v>43</v>
      </c>
      <c r="N5" s="6" t="s">
        <v>71</v>
      </c>
      <c r="O5" s="6" t="s">
        <v>72</v>
      </c>
    </row>
    <row r="6" customFormat="false" ht="68.65" hidden="false" customHeight="false" outlineLevel="0" collapsed="false">
      <c r="A6" s="6" t="s">
        <v>73</v>
      </c>
      <c r="B6" s="6" t="s">
        <v>74</v>
      </c>
      <c r="C6" s="6" t="s">
        <v>75</v>
      </c>
      <c r="D6" s="6" t="s">
        <v>76</v>
      </c>
      <c r="E6" s="6" t="s">
        <v>77</v>
      </c>
      <c r="F6" s="6" t="s">
        <v>36</v>
      </c>
      <c r="G6" s="6" t="s">
        <v>78</v>
      </c>
      <c r="H6" s="6" t="s">
        <v>79</v>
      </c>
      <c r="I6" s="6" t="s">
        <v>39</v>
      </c>
      <c r="J6" s="6" t="s">
        <v>60</v>
      </c>
      <c r="K6" s="6" t="s">
        <v>80</v>
      </c>
      <c r="L6" s="6" t="s">
        <v>81</v>
      </c>
      <c r="M6" s="6" t="s">
        <v>43</v>
      </c>
      <c r="N6" s="6" t="s">
        <v>82</v>
      </c>
      <c r="O6" s="6" t="s">
        <v>83</v>
      </c>
    </row>
    <row r="7" customFormat="false" ht="46.25" hidden="false" customHeight="false" outlineLevel="0" collapsed="false">
      <c r="A7" s="6" t="s">
        <v>73</v>
      </c>
      <c r="B7" s="6" t="s">
        <v>84</v>
      </c>
      <c r="C7" s="6" t="s">
        <v>85</v>
      </c>
      <c r="D7" s="6" t="s">
        <v>86</v>
      </c>
      <c r="E7" s="6" t="s">
        <v>87</v>
      </c>
      <c r="F7" s="6" t="s">
        <v>36</v>
      </c>
      <c r="G7" s="6" t="s">
        <v>88</v>
      </c>
      <c r="H7" s="6" t="s">
        <v>89</v>
      </c>
      <c r="I7" s="6" t="s">
        <v>51</v>
      </c>
      <c r="J7" s="6" t="s">
        <v>60</v>
      </c>
      <c r="K7" s="6" t="s">
        <v>90</v>
      </c>
      <c r="L7" s="6" t="s">
        <v>81</v>
      </c>
      <c r="M7" s="6" t="s">
        <v>91</v>
      </c>
      <c r="N7" s="6" t="s">
        <v>92</v>
      </c>
      <c r="O7" s="6" t="s">
        <v>83</v>
      </c>
    </row>
    <row r="8" customFormat="false" ht="68.65" hidden="false" customHeight="false" outlineLevel="0" collapsed="false">
      <c r="A8" s="6" t="s">
        <v>93</v>
      </c>
      <c r="B8" s="6" t="s">
        <v>94</v>
      </c>
      <c r="C8" s="6" t="s">
        <v>95</v>
      </c>
      <c r="D8" s="6" t="s">
        <v>96</v>
      </c>
      <c r="E8" s="6" t="s">
        <v>97</v>
      </c>
      <c r="F8" s="6" t="s">
        <v>36</v>
      </c>
      <c r="G8" s="6" t="s">
        <v>98</v>
      </c>
      <c r="H8" s="6" t="s">
        <v>99</v>
      </c>
      <c r="I8" s="6" t="s">
        <v>39</v>
      </c>
      <c r="J8" s="6" t="s">
        <v>60</v>
      </c>
      <c r="K8" s="6" t="s">
        <v>100</v>
      </c>
      <c r="L8" s="6" t="s">
        <v>101</v>
      </c>
      <c r="M8" s="6" t="s">
        <v>91</v>
      </c>
      <c r="N8" s="6" t="s">
        <v>102</v>
      </c>
      <c r="O8" s="6" t="s">
        <v>103</v>
      </c>
    </row>
    <row r="9" customFormat="false" ht="46.25" hidden="false" customHeight="false" outlineLevel="0" collapsed="false">
      <c r="A9" s="6" t="s">
        <v>104</v>
      </c>
      <c r="B9" s="6" t="s">
        <v>105</v>
      </c>
      <c r="C9" s="6" t="s">
        <v>106</v>
      </c>
      <c r="D9" s="6" t="s">
        <v>107</v>
      </c>
      <c r="E9" s="6" t="s">
        <v>108</v>
      </c>
      <c r="F9" s="6" t="s">
        <v>36</v>
      </c>
      <c r="G9" s="6" t="s">
        <v>109</v>
      </c>
      <c r="H9" s="6" t="s">
        <v>110</v>
      </c>
      <c r="I9" s="6" t="s">
        <v>51</v>
      </c>
      <c r="J9" s="6" t="s">
        <v>111</v>
      </c>
      <c r="K9" s="6" t="s">
        <v>112</v>
      </c>
      <c r="L9" s="6" t="s">
        <v>113</v>
      </c>
      <c r="M9" s="6" t="s">
        <v>43</v>
      </c>
      <c r="N9" s="6" t="s">
        <v>114</v>
      </c>
      <c r="O9" s="6" t="s">
        <v>115</v>
      </c>
    </row>
    <row r="10" customFormat="false" ht="46.25" hidden="false" customHeight="false" outlineLevel="0" collapsed="false">
      <c r="A10" s="6" t="s">
        <v>116</v>
      </c>
      <c r="B10" s="6" t="s">
        <v>117</v>
      </c>
      <c r="C10" s="6" t="s">
        <v>118</v>
      </c>
      <c r="D10" s="6" t="s">
        <v>119</v>
      </c>
      <c r="E10" s="6" t="s">
        <v>120</v>
      </c>
      <c r="F10" s="6" t="s">
        <v>36</v>
      </c>
      <c r="G10" s="6" t="s">
        <v>121</v>
      </c>
      <c r="H10" s="6" t="s">
        <v>122</v>
      </c>
      <c r="I10" s="6" t="s">
        <v>123</v>
      </c>
      <c r="J10" s="6" t="s">
        <v>111</v>
      </c>
      <c r="K10" s="6" t="s">
        <v>124</v>
      </c>
      <c r="L10" s="6" t="s">
        <v>81</v>
      </c>
      <c r="M10" s="6" t="s">
        <v>91</v>
      </c>
      <c r="N10" s="6" t="s">
        <v>125</v>
      </c>
      <c r="O10" s="6" t="s">
        <v>126</v>
      </c>
    </row>
    <row r="11" customFormat="false" ht="57.45" hidden="false" customHeight="false" outlineLevel="0" collapsed="false">
      <c r="A11" s="6" t="s">
        <v>127</v>
      </c>
      <c r="B11" s="6" t="s">
        <v>128</v>
      </c>
      <c r="C11" s="6" t="s">
        <v>129</v>
      </c>
      <c r="D11" s="6" t="s">
        <v>130</v>
      </c>
      <c r="E11" s="6" t="s">
        <v>35</v>
      </c>
      <c r="F11" s="6" t="s">
        <v>36</v>
      </c>
      <c r="G11" s="6" t="s">
        <v>131</v>
      </c>
      <c r="H11" s="6" t="s">
        <v>132</v>
      </c>
      <c r="I11" s="6" t="s">
        <v>39</v>
      </c>
      <c r="J11" s="6" t="s">
        <v>40</v>
      </c>
      <c r="K11" s="6" t="s">
        <v>133</v>
      </c>
      <c r="L11" s="6" t="s">
        <v>81</v>
      </c>
      <c r="M11" s="6" t="s">
        <v>43</v>
      </c>
      <c r="N11" s="6" t="s">
        <v>134</v>
      </c>
      <c r="O11" s="6" t="s">
        <v>135</v>
      </c>
    </row>
    <row r="13" customFormat="false" ht="15" hidden="false" customHeight="false" outlineLevel="0" collapsed="false">
      <c r="A13" s="7" t="s">
        <v>136</v>
      </c>
      <c r="B13" s="7" t="n">
        <f aca="false">COUNTA(A2:A11)-COUNTBLANK(A2:A11)</f>
        <v>10</v>
      </c>
    </row>
    <row r="14" customFormat="false" ht="15" hidden="false" customHeight="false" outlineLevel="0" collapsed="false">
      <c r="A14" s="7" t="s">
        <v>137</v>
      </c>
      <c r="B14" s="7" t="n">
        <f aca="false">COUNTIF(M2:M11,"Y")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36"/>
    <col collapsed="false" customWidth="true" hidden="false" outlineLevel="0" max="5" min="5" style="0" width="22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26"/>
    <col collapsed="false" customWidth="true" hidden="false" outlineLevel="0" max="12" min="12" style="0" width="18"/>
    <col collapsed="false" customWidth="true" hidden="false" outlineLevel="0" max="13" min="13" style="0" width="14"/>
    <col collapsed="false" customWidth="true" hidden="false" outlineLevel="0" max="14" min="14" style="0" width="12"/>
  </cols>
  <sheetData>
    <row r="1" customFormat="false" ht="30" hidden="false" customHeight="true" outlineLevel="0" collapsed="false">
      <c r="A1" s="5" t="s">
        <v>22</v>
      </c>
      <c r="B1" s="5" t="s">
        <v>23</v>
      </c>
      <c r="C1" s="5" t="s">
        <v>138</v>
      </c>
      <c r="D1" s="5" t="s">
        <v>139</v>
      </c>
      <c r="E1" s="5" t="s">
        <v>140</v>
      </c>
      <c r="F1" s="5" t="s">
        <v>141</v>
      </c>
      <c r="G1" s="5" t="s">
        <v>142</v>
      </c>
      <c r="H1" s="5" t="s">
        <v>143</v>
      </c>
      <c r="I1" s="5" t="s">
        <v>144</v>
      </c>
      <c r="J1" s="5" t="s">
        <v>145</v>
      </c>
      <c r="K1" s="5" t="s">
        <v>146</v>
      </c>
      <c r="L1" s="5" t="s">
        <v>147</v>
      </c>
      <c r="M1" s="5" t="s">
        <v>148</v>
      </c>
      <c r="N1" s="5" t="s">
        <v>149</v>
      </c>
    </row>
    <row r="2" customFormat="false" ht="57.45" hidden="false" customHeight="false" outlineLevel="0" collapsed="false">
      <c r="A2" s="6" t="s">
        <v>37</v>
      </c>
      <c r="B2" s="6" t="s">
        <v>150</v>
      </c>
      <c r="C2" s="6" t="s">
        <v>151</v>
      </c>
      <c r="D2" s="6" t="s">
        <v>152</v>
      </c>
      <c r="E2" s="6" t="s">
        <v>153</v>
      </c>
      <c r="F2" s="6" t="s">
        <v>154</v>
      </c>
      <c r="G2" s="6" t="s">
        <v>155</v>
      </c>
      <c r="H2" s="6" t="s">
        <v>156</v>
      </c>
      <c r="I2" s="6" t="n">
        <v>20</v>
      </c>
      <c r="J2" s="6" t="n">
        <v>0</v>
      </c>
      <c r="K2" s="6"/>
      <c r="L2" s="6" t="s">
        <v>157</v>
      </c>
      <c r="M2" s="6" t="s">
        <v>42</v>
      </c>
      <c r="N2" s="6" t="s">
        <v>158</v>
      </c>
    </row>
    <row r="3" customFormat="false" ht="57.45" hidden="false" customHeight="false" outlineLevel="0" collapsed="false">
      <c r="A3" s="6" t="s">
        <v>49</v>
      </c>
      <c r="B3" s="6" t="s">
        <v>159</v>
      </c>
      <c r="C3" s="6" t="s">
        <v>160</v>
      </c>
      <c r="D3" s="6" t="s">
        <v>161</v>
      </c>
      <c r="E3" s="6" t="s">
        <v>162</v>
      </c>
      <c r="F3" s="6" t="s">
        <v>154</v>
      </c>
      <c r="G3" s="6" t="s">
        <v>155</v>
      </c>
      <c r="H3" s="6" t="s">
        <v>163</v>
      </c>
      <c r="I3" s="6" t="n">
        <v>15</v>
      </c>
      <c r="J3" s="6" t="n">
        <v>1</v>
      </c>
      <c r="K3" s="6" t="s">
        <v>164</v>
      </c>
      <c r="L3" s="6" t="s">
        <v>165</v>
      </c>
      <c r="M3" s="6" t="s">
        <v>42</v>
      </c>
      <c r="N3" s="6" t="s">
        <v>166</v>
      </c>
    </row>
    <row r="4" customFormat="false" ht="46.25" hidden="false" customHeight="false" outlineLevel="0" collapsed="false">
      <c r="A4" s="6" t="s">
        <v>58</v>
      </c>
      <c r="B4" s="6" t="s">
        <v>167</v>
      </c>
      <c r="C4" s="6" t="s">
        <v>168</v>
      </c>
      <c r="D4" s="6" t="s">
        <v>169</v>
      </c>
      <c r="E4" s="6" t="s">
        <v>170</v>
      </c>
      <c r="F4" s="6" t="s">
        <v>154</v>
      </c>
      <c r="G4" s="6" t="s">
        <v>155</v>
      </c>
      <c r="H4" s="6" t="s">
        <v>171</v>
      </c>
      <c r="I4" s="6" t="n">
        <v>1</v>
      </c>
      <c r="J4" s="6" t="n">
        <v>0</v>
      </c>
      <c r="K4" s="6"/>
      <c r="L4" s="6" t="s">
        <v>157</v>
      </c>
      <c r="M4" s="6" t="s">
        <v>42</v>
      </c>
      <c r="N4" s="6" t="s">
        <v>172</v>
      </c>
    </row>
    <row r="5" customFormat="false" ht="57.45" hidden="false" customHeight="false" outlineLevel="0" collapsed="false">
      <c r="A5" s="6" t="s">
        <v>78</v>
      </c>
      <c r="B5" s="6" t="s">
        <v>173</v>
      </c>
      <c r="C5" s="6" t="s">
        <v>174</v>
      </c>
      <c r="D5" s="6" t="s">
        <v>175</v>
      </c>
      <c r="E5" s="6" t="s">
        <v>176</v>
      </c>
      <c r="F5" s="6" t="s">
        <v>154</v>
      </c>
      <c r="G5" s="6" t="s">
        <v>155</v>
      </c>
      <c r="H5" s="6" t="s">
        <v>158</v>
      </c>
      <c r="I5" s="6" t="n">
        <v>20</v>
      </c>
      <c r="J5" s="6" t="n">
        <v>0</v>
      </c>
      <c r="K5" s="6"/>
      <c r="L5" s="6" t="s">
        <v>157</v>
      </c>
      <c r="M5" s="6" t="s">
        <v>81</v>
      </c>
      <c r="N5" s="6" t="s">
        <v>177</v>
      </c>
    </row>
    <row r="6" customFormat="false" ht="57.45" hidden="false" customHeight="false" outlineLevel="0" collapsed="false">
      <c r="A6" s="6" t="s">
        <v>109</v>
      </c>
      <c r="B6" s="6" t="s">
        <v>178</v>
      </c>
      <c r="C6" s="6" t="s">
        <v>179</v>
      </c>
      <c r="D6" s="6" t="s">
        <v>180</v>
      </c>
      <c r="E6" s="6" t="s">
        <v>181</v>
      </c>
      <c r="F6" s="6" t="s">
        <v>154</v>
      </c>
      <c r="G6" s="6" t="s">
        <v>155</v>
      </c>
      <c r="H6" s="6" t="s">
        <v>166</v>
      </c>
      <c r="I6" s="6" t="n">
        <v>15</v>
      </c>
      <c r="J6" s="6" t="n">
        <v>0</v>
      </c>
      <c r="K6" s="6"/>
      <c r="L6" s="6" t="s">
        <v>157</v>
      </c>
      <c r="M6" s="6" t="s">
        <v>113</v>
      </c>
      <c r="N6" s="6" t="s">
        <v>182</v>
      </c>
    </row>
    <row r="8" customFormat="false" ht="15" hidden="false" customHeight="false" outlineLevel="0" collapsed="false">
      <c r="A8" s="7" t="s">
        <v>183</v>
      </c>
      <c r="B8" s="7" t="n">
        <f aca="false">COUNTA(A2:A6)</f>
        <v>5</v>
      </c>
    </row>
    <row r="9" customFormat="false" ht="15" hidden="false" customHeight="false" outlineLevel="0" collapsed="false">
      <c r="A9" s="7" t="s">
        <v>184</v>
      </c>
      <c r="B9" s="7" t="n">
        <f aca="false">SUM(J2:J6)</f>
        <v>1</v>
      </c>
    </row>
    <row r="10" customFormat="false" ht="15" hidden="false" customHeight="false" outlineLevel="0" collapsed="false">
      <c r="A10" s="7" t="s">
        <v>185</v>
      </c>
      <c r="B10" s="7" t="n">
        <f aca="false">COUNTIF(L2:L6,"Ineffective")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3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8" min="7" style="0" width="24"/>
    <col collapsed="false" customWidth="true" hidden="false" outlineLevel="0" max="9" min="9" style="0" width="32"/>
    <col collapsed="false" customWidth="true" hidden="false" outlineLevel="0" max="10" min="10" style="0" width="18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16"/>
  </cols>
  <sheetData>
    <row r="1" customFormat="false" ht="30" hidden="false" customHeight="true" outlineLevel="0" collapsed="false">
      <c r="A1" s="5" t="s">
        <v>186</v>
      </c>
      <c r="B1" s="5" t="s">
        <v>187</v>
      </c>
      <c r="C1" s="5" t="s">
        <v>188</v>
      </c>
      <c r="D1" s="5" t="s">
        <v>189</v>
      </c>
      <c r="E1" s="5" t="s">
        <v>190</v>
      </c>
      <c r="F1" s="5" t="s">
        <v>191</v>
      </c>
      <c r="G1" s="5" t="s">
        <v>192</v>
      </c>
      <c r="H1" s="5" t="s">
        <v>193</v>
      </c>
      <c r="I1" s="5" t="s">
        <v>194</v>
      </c>
      <c r="J1" s="5" t="s">
        <v>195</v>
      </c>
      <c r="K1" s="5" t="s">
        <v>196</v>
      </c>
      <c r="L1" s="5" t="s">
        <v>197</v>
      </c>
      <c r="M1" s="5" t="s">
        <v>198</v>
      </c>
      <c r="N1" s="5" t="s">
        <v>199</v>
      </c>
    </row>
    <row r="2" customFormat="false" ht="68.65" hidden="false" customHeight="false" outlineLevel="0" collapsed="false">
      <c r="A2" s="6" t="s">
        <v>200</v>
      </c>
      <c r="B2" s="6" t="s">
        <v>49</v>
      </c>
      <c r="C2" s="6" t="s">
        <v>163</v>
      </c>
      <c r="D2" s="6" t="s">
        <v>201</v>
      </c>
      <c r="E2" s="6" t="s">
        <v>202</v>
      </c>
      <c r="F2" s="6" t="s">
        <v>203</v>
      </c>
      <c r="G2" s="6" t="s">
        <v>204</v>
      </c>
      <c r="H2" s="6" t="s">
        <v>205</v>
      </c>
      <c r="I2" s="6" t="s">
        <v>206</v>
      </c>
      <c r="J2" s="6" t="s">
        <v>42</v>
      </c>
      <c r="K2" s="6" t="s">
        <v>207</v>
      </c>
      <c r="L2" s="6" t="s">
        <v>208</v>
      </c>
      <c r="M2" s="6"/>
      <c r="N2" s="6"/>
    </row>
    <row r="3" customFormat="false" ht="91" hidden="false" customHeight="false" outlineLevel="0" collapsed="false">
      <c r="A3" s="6" t="s">
        <v>209</v>
      </c>
      <c r="B3" s="6" t="s">
        <v>78</v>
      </c>
      <c r="C3" s="6" t="s">
        <v>210</v>
      </c>
      <c r="D3" s="6" t="s">
        <v>211</v>
      </c>
      <c r="E3" s="6" t="s">
        <v>212</v>
      </c>
      <c r="F3" s="6" t="s">
        <v>213</v>
      </c>
      <c r="G3" s="6" t="s">
        <v>214</v>
      </c>
      <c r="H3" s="6" t="s">
        <v>215</v>
      </c>
      <c r="I3" s="6" t="s">
        <v>216</v>
      </c>
      <c r="J3" s="6" t="s">
        <v>81</v>
      </c>
      <c r="K3" s="6" t="s">
        <v>217</v>
      </c>
      <c r="L3" s="6" t="s">
        <v>218</v>
      </c>
      <c r="M3" s="6" t="s">
        <v>219</v>
      </c>
      <c r="N3" s="6" t="s">
        <v>220</v>
      </c>
    </row>
    <row r="5" customFormat="false" ht="15" hidden="false" customHeight="false" outlineLevel="0" collapsed="false">
      <c r="A5" s="7" t="s">
        <v>221</v>
      </c>
      <c r="B5" s="7" t="n">
        <f aca="false">COUNTIF(L2:L3,"Open")+COUNTIF(L2:L3,"In Progress")</f>
        <v>1</v>
      </c>
    </row>
    <row r="6" customFormat="false" ht="15" hidden="false" customHeight="false" outlineLevel="0" collapsed="false">
      <c r="A6" s="7" t="s">
        <v>222</v>
      </c>
      <c r="B6" s="7" t="n">
        <f aca="false">COUNTIF(F2:F3,"Material Weakness")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44"/>
    <col collapsed="false" customWidth="true" hidden="false" outlineLevel="0" max="7" min="5" style="0" width="20"/>
    <col collapsed="false" customWidth="true" hidden="false" outlineLevel="0" max="8" min="8" style="0" width="14"/>
    <col collapsed="false" customWidth="true" hidden="false" outlineLevel="0" max="9" min="9" style="0" width="24"/>
    <col collapsed="false" customWidth="true" hidden="false" outlineLevel="0" max="10" min="10" style="0" width="28"/>
    <col collapsed="false" customWidth="true" hidden="false" outlineLevel="0" max="11" min="11" style="0" width="22"/>
    <col collapsed="false" customWidth="true" hidden="false" outlineLevel="0" max="13" min="12" style="0" width="14"/>
  </cols>
  <sheetData>
    <row r="1" customFormat="false" ht="30" hidden="false" customHeight="true" outlineLevel="0" collapsed="false">
      <c r="A1" s="5" t="s">
        <v>223</v>
      </c>
      <c r="B1" s="5" t="s">
        <v>224</v>
      </c>
      <c r="C1" s="5" t="s">
        <v>225</v>
      </c>
      <c r="D1" s="5" t="s">
        <v>226</v>
      </c>
      <c r="E1" s="5" t="s">
        <v>227</v>
      </c>
      <c r="F1" s="5" t="s">
        <v>228</v>
      </c>
      <c r="G1" s="5" t="s">
        <v>229</v>
      </c>
      <c r="H1" s="5" t="s">
        <v>230</v>
      </c>
      <c r="I1" s="5" t="s">
        <v>231</v>
      </c>
      <c r="J1" s="5" t="s">
        <v>232</v>
      </c>
      <c r="K1" s="5" t="s">
        <v>233</v>
      </c>
      <c r="L1" s="5" t="s">
        <v>234</v>
      </c>
      <c r="M1" s="5" t="s">
        <v>235</v>
      </c>
    </row>
    <row r="2" customFormat="false" ht="79.85" hidden="false" customHeight="false" outlineLevel="0" collapsed="false">
      <c r="A2" s="6" t="s">
        <v>236</v>
      </c>
      <c r="B2" s="6" t="s">
        <v>237</v>
      </c>
      <c r="C2" s="6" t="s">
        <v>238</v>
      </c>
      <c r="D2" s="6" t="s">
        <v>239</v>
      </c>
      <c r="E2" s="6" t="s">
        <v>240</v>
      </c>
      <c r="F2" s="6" t="s">
        <v>241</v>
      </c>
      <c r="G2" s="6" t="s">
        <v>242</v>
      </c>
      <c r="H2" s="6" t="s">
        <v>243</v>
      </c>
      <c r="I2" s="6" t="s">
        <v>244</v>
      </c>
      <c r="J2" s="6" t="s">
        <v>245</v>
      </c>
      <c r="K2" s="6" t="s">
        <v>246</v>
      </c>
      <c r="L2" s="6" t="s">
        <v>247</v>
      </c>
      <c r="M2" s="6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2026-09-07T13:22:51Z</dcterms:created>
  <dc:creator>openpyxl</dc:creator>
  <dc:description/>
  <dc:language>en-US</dc:language>
  <cp:lastModifiedBy/>
  <dcterms:modified xsi:type="dcterms:W3CDTF">2026-09-07T13:22:51Z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