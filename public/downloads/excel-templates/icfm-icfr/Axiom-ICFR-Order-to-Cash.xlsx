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isk &amp; Control Matrix" sheetId="2" state="visible" r:id="rId4"/>
    <sheet name="Control Testing Tracker" sheetId="3" state="visible" r:id="rId5"/>
    <sheet name="Deficiency &amp; Remediation Log" sheetId="4" state="visible" r:id="rId6"/>
    <sheet name="Process Narrati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<sst xmlns="http://schemas.openxmlformats.org/spreadsheetml/2006/main" count="337" uniqueCount="259">
  <si>
    <t xml:space="preserve">ICFM / ICFR Template — Order-to-Cash (Revenue &amp; Accounts Receivable)</t>
  </si>
  <si>
    <t xml:space="preserve">Internal Controls over Financial Management &amp; Reporting</t>
  </si>
  <si>
    <t xml:space="preserve">How to use this workbook</t>
  </si>
  <si>
    <t xml:space="preserve">This workbook is a starting-point framework for documenting and testing internal controls over financial reporting (ICFR), consistent with the COSO 2013 Internal Control – Integrated Framework and the approach commonly used for SOX Section 404 compliance. It is a template, not legal, audit, or compliance advice — adapt every field to your organization's actual processes, systems, and risk profile before relying on it.</t>
  </si>
  <si>
    <t xml:space="preserve">Tabs in this workbook:</t>
  </si>
  <si>
    <t xml:space="preserve">1. Risk &amp; Control Matrix (RCM) — maps key financial statement risks to the controls that address them, including control owner, type, nature, and frequency.</t>
  </si>
  <si>
    <t xml:space="preserve">2. Control Testing Tracker — documents walkthroughs and operating-effectiveness testing performed for each key control, sample sizes, and conclusions.</t>
  </si>
  <si>
    <t xml:space="preserve">3. Deficiency &amp; Remediation Log — logs control gaps identified through testing, rates severity, and tracks remediation to closure.</t>
  </si>
  <si>
    <t xml:space="preserve">4. Process Narratives — a structured, one-row-per-process write-up of how each in-scope financial process actually operates end to end.</t>
  </si>
  <si>
    <t xml:space="preserve">Color key:</t>
  </si>
  <si>
    <t xml:space="preserve">Yellow-shaded rows are illustrative examples for this industry — replace or extend them with your own facts. Blank rows below each example are ready for your data.</t>
  </si>
  <si>
    <t xml:space="preserve">Example rows below are illustrative starting points based on common risks and leading-practice controls for this process. They are not exhaustive and are not a substitute for a formal risk assessment of your organization's actual systems, materiality, and fraud risk.</t>
  </si>
  <si>
    <t xml:space="preserve">Suggested severity definitions (COSO / AS 2201):</t>
  </si>
  <si>
    <t xml:space="preserve">• Control Deficiency — a control is designed or operating in a way that does not allow management/employees to prevent or detect misstatements on a timely basis.</t>
  </si>
  <si>
    <t xml:space="preserve">• Significant Deficiency — a deficiency, or combination of deficiencies, less severe than a material weakness, yet important enough to merit attention by those responsible for oversight of financial reporting.</t>
  </si>
  <si>
    <t xml:space="preserve">• Material Weakness — a deficiency, or combination of deficiencies, such that there is a reasonable possibility that a material misstatement of the financial statements will not be prevented or detected on a timely basis.</t>
  </si>
  <si>
    <t xml:space="preserve">Process</t>
  </si>
  <si>
    <t xml:space="preserve">Sub-Process</t>
  </si>
  <si>
    <t xml:space="preserve">Risk ID</t>
  </si>
  <si>
    <t xml:space="preserve">Risk Description</t>
  </si>
  <si>
    <t xml:space="preserve">Financial Statement Assertion(s)</t>
  </si>
  <si>
    <t xml:space="preserve">COSO Component</t>
  </si>
  <si>
    <t xml:space="preserve">Control ID</t>
  </si>
  <si>
    <t xml:space="preserve">Control Description</t>
  </si>
  <si>
    <t xml:space="preserve">Control Type
(Preventive/Detective)</t>
  </si>
  <si>
    <t xml:space="preserve">Control Nature
(Manual/Automated/IT-Dependent)</t>
  </si>
  <si>
    <t xml:space="preserve">Frequency</t>
  </si>
  <si>
    <t xml:space="preserve">Control Owner</t>
  </si>
  <si>
    <t xml:space="preserve">Key Control
(Y/N)</t>
  </si>
  <si>
    <t xml:space="preserve">Evidence / Documentation</t>
  </si>
  <si>
    <t xml:space="preserve">Systems / Applications</t>
  </si>
  <si>
    <t xml:space="preserve">Order Entry &amp; Credit</t>
  </si>
  <si>
    <t xml:space="preserve">Customer &amp; Credit Approval</t>
  </si>
  <si>
    <t xml:space="preserve">O2C-R01</t>
  </si>
  <si>
    <t xml:space="preserve">Sales are made to customers exceeding approved credit limits or without a credit check, increasing bad debt risk</t>
  </si>
  <si>
    <t xml:space="preserve">Valuation</t>
  </si>
  <si>
    <t xml:space="preserve">Control Activities</t>
  </si>
  <si>
    <t xml:space="preserve">O2C-C01</t>
  </si>
  <si>
    <t xml:space="preserve">Credit limits are established and approved prior to order acceptance; the system blocks orders that exceed the approved limit without override authorization</t>
  </si>
  <si>
    <t xml:space="preserve">Preventive</t>
  </si>
  <si>
    <t xml:space="preserve">Automated</t>
  </si>
  <si>
    <t xml:space="preserve">Per Transaction</t>
  </si>
  <si>
    <t xml:space="preserve">Credit Manager</t>
  </si>
  <si>
    <t xml:space="preserve">Y</t>
  </si>
  <si>
    <t xml:space="preserve">System block/override log</t>
  </si>
  <si>
    <t xml:space="preserve">ERP / Credit Management Module</t>
  </si>
  <si>
    <t xml:space="preserve">Pricing &amp; Contract Terms</t>
  </si>
  <si>
    <t xml:space="preserve">O2C-R02</t>
  </si>
  <si>
    <t xml:space="preserve">Orders are entered at unauthorized prices or terms that differ from the approved price list or contract</t>
  </si>
  <si>
    <t xml:space="preserve">Accuracy</t>
  </si>
  <si>
    <t xml:space="preserve">O2C-C02</t>
  </si>
  <si>
    <t xml:space="preserve">Sales orders are priced from the system price list/approved contract terms; discounts or non-standard terms above threshold require sales management approval before order release</t>
  </si>
  <si>
    <t xml:space="preserve">IT-Dependent Manual</t>
  </si>
  <si>
    <t xml:space="preserve">Sales Operations Manager</t>
  </si>
  <si>
    <t xml:space="preserve">Approval workflow log</t>
  </si>
  <si>
    <t xml:space="preserve">CRM / CPQ, ERP</t>
  </si>
  <si>
    <t xml:space="preserve">Fulfillment &amp; Revenue Recognition</t>
  </si>
  <si>
    <t xml:space="preserve">Shipping / Delivery Confirmation</t>
  </si>
  <si>
    <t xml:space="preserve">O2C-R03</t>
  </si>
  <si>
    <t xml:space="preserve">Revenue is recorded before goods/services are delivered or in the wrong period</t>
  </si>
  <si>
    <t xml:space="preserve">Existence/Occurrence; Cutoff</t>
  </si>
  <si>
    <t xml:space="preserve">O2C-C03</t>
  </si>
  <si>
    <t xml:space="preserve">The system matches shipping/delivery confirmation to the sales order before revenue is recognized; exceptions are routed to the Controller for review</t>
  </si>
  <si>
    <t xml:space="preserve">Revenue Accounting Manager</t>
  </si>
  <si>
    <t xml:space="preserve">System match report; Controller sign-off</t>
  </si>
  <si>
    <t xml:space="preserve">ERP / Order Management System</t>
  </si>
  <si>
    <t xml:space="preserve">Multi-Element / Contract Revenue</t>
  </si>
  <si>
    <t xml:space="preserve">O2C-R04</t>
  </si>
  <si>
    <t xml:space="preserve">Contracts with multiple performance obligations are not properly identified or allocated, misstating revenue timing</t>
  </si>
  <si>
    <t xml:space="preserve">Valuation/Classification</t>
  </si>
  <si>
    <t xml:space="preserve">O2C-C04</t>
  </si>
  <si>
    <t xml:space="preserve">Non-standard or multi-element contracts are routed to Technical Accounting/Revenue Accounting for review and allocation of the transaction price before booking</t>
  </si>
  <si>
    <t xml:space="preserve">Manual</t>
  </si>
  <si>
    <t xml:space="preserve">Per Contract</t>
  </si>
  <si>
    <t xml:space="preserve">Contract review memo</t>
  </si>
  <si>
    <t xml:space="preserve">Revenue Recognition Tool, Contract Repository</t>
  </si>
  <si>
    <t xml:space="preserve">Billing</t>
  </si>
  <si>
    <t xml:space="preserve">Invoice Generation</t>
  </si>
  <si>
    <t xml:space="preserve">O2C-R05</t>
  </si>
  <si>
    <t xml:space="preserve">Customers are billed incorrectly for price, quantity, or terms</t>
  </si>
  <si>
    <t xml:space="preserve">O2C-C05</t>
  </si>
  <si>
    <t xml:space="preserve">Invoices are system-generated from the shipped/delivered order and approved contract pricing; manually adjusted invoices above threshold require independent review before release</t>
  </si>
  <si>
    <t xml:space="preserve">Billing Manager</t>
  </si>
  <si>
    <t xml:space="preserve">Invoice exception report</t>
  </si>
  <si>
    <t xml:space="preserve">ERP / Billing System</t>
  </si>
  <si>
    <t xml:space="preserve">Credit Memos &amp; Adjustments</t>
  </si>
  <si>
    <t xml:space="preserve">O2C-R06</t>
  </si>
  <si>
    <t xml:space="preserve">Credit memos or invoice adjustments are issued without proper approval, understating revenue or enabling fraud</t>
  </si>
  <si>
    <t xml:space="preserve">Existence/Occurrence</t>
  </si>
  <si>
    <t xml:space="preserve">O2C-C06</t>
  </si>
  <si>
    <t xml:space="preserve">Credit memos above a defined threshold require approval from a manager independent of the preparer before processing</t>
  </si>
  <si>
    <t xml:space="preserve">AR Manager</t>
  </si>
  <si>
    <t xml:space="preserve">Approved credit memo form</t>
  </si>
  <si>
    <t xml:space="preserve">Cash Application</t>
  </si>
  <si>
    <t xml:space="preserve">Receipts &amp; Application</t>
  </si>
  <si>
    <t xml:space="preserve">O2C-R07</t>
  </si>
  <si>
    <t xml:space="preserve">Cash receipts are misapplied or not applied timely, misstating customer balances and the AR aging</t>
  </si>
  <si>
    <t xml:space="preserve">Accuracy/Completeness</t>
  </si>
  <si>
    <t xml:space="preserve">O2C-C07</t>
  </si>
  <si>
    <t xml:space="preserve">Cash receipts are applied to customer accounts within 2 business days of receipt; unapplied cash is reviewed weekly by the AR Manager and researched to resolution</t>
  </si>
  <si>
    <t xml:space="preserve">Detective</t>
  </si>
  <si>
    <t xml:space="preserve">Weekly</t>
  </si>
  <si>
    <t xml:space="preserve">Unapplied cash aging report</t>
  </si>
  <si>
    <t xml:space="preserve">ERP / Bank Lockbox</t>
  </si>
  <si>
    <t xml:space="preserve">Receivables Management</t>
  </si>
  <si>
    <t xml:space="preserve">Allowance for Doubtful Accounts</t>
  </si>
  <si>
    <t xml:space="preserve">O2C-R08</t>
  </si>
  <si>
    <t xml:space="preserve">The allowance for doubtful accounts does not reflect expected collectability, misstating AR and bad debt expense</t>
  </si>
  <si>
    <t xml:space="preserve">O2C-C08</t>
  </si>
  <si>
    <t xml:space="preserve">The AR aging is reviewed monthly; the allowance is recalculated using an aging-based or specific-identification methodology and reviewed/approved by the Controller</t>
  </si>
  <si>
    <t xml:space="preserve">Monthly</t>
  </si>
  <si>
    <t xml:space="preserve">Controller</t>
  </si>
  <si>
    <t xml:space="preserve">Aging report; allowance calculation and approval</t>
  </si>
  <si>
    <t xml:space="preserve">ERP AR Subledger</t>
  </si>
  <si>
    <t xml:space="preserve">Order-to-Cash Close</t>
  </si>
  <si>
    <t xml:space="preserve">Revenue Cutoff Testing</t>
  </si>
  <si>
    <t xml:space="preserve">O2C-R09</t>
  </si>
  <si>
    <t xml:space="preserve">Revenue near period-end is recorded in the wrong period</t>
  </si>
  <si>
    <t xml:space="preserve">Cutoff</t>
  </si>
  <si>
    <t xml:space="preserve">Monitoring Activities</t>
  </si>
  <si>
    <t xml:space="preserve">O2C-C09</t>
  </si>
  <si>
    <t xml:space="preserve">A cutoff analysis is performed each period-end on shipments/deliveries within 5 days of month-end to confirm revenue was recorded in the correct period</t>
  </si>
  <si>
    <t xml:space="preserve">Cutoff testing workpaper</t>
  </si>
  <si>
    <t xml:space="preserve">Segregation of Duties</t>
  </si>
  <si>
    <t xml:space="preserve">Order-to-Cash Role Access</t>
  </si>
  <si>
    <t xml:space="preserve">O2C-R10</t>
  </si>
  <si>
    <t xml:space="preserve">A single individual can create a customer, enter an order, and adjust/write off the related receivable, enabling concealment of fraud</t>
  </si>
  <si>
    <t xml:space="preserve">O2C-C10</t>
  </si>
  <si>
    <t xml:space="preserve">ERP role-based access enforces segregation between customer master maintenance, order entry, billing, and credit memo/write-off approval; access is reviewed quarterly</t>
  </si>
  <si>
    <t xml:space="preserve">Quarterly</t>
  </si>
  <si>
    <t xml:space="preserve">IT Security Manager / Controller</t>
  </si>
  <si>
    <t xml:space="preserve">N</t>
  </si>
  <si>
    <t xml:space="preserve">SoD access review report</t>
  </si>
  <si>
    <t xml:space="preserve">ERP Role/Access Configuration</t>
  </si>
  <si>
    <t xml:space="preserve">Total Controls Documented:</t>
  </si>
  <si>
    <t xml:space="preserve">Key Controls (Y):</t>
  </si>
  <si>
    <t xml:space="preserve">Test Objective</t>
  </si>
  <si>
    <t xml:space="preserve">Test Procedure</t>
  </si>
  <si>
    <t xml:space="preserve">Sample Size / Methodology</t>
  </si>
  <si>
    <t xml:space="preserve">Testing Period</t>
  </si>
  <si>
    <t xml:space="preserve">Tester</t>
  </si>
  <si>
    <t xml:space="preserve">Test Date</t>
  </si>
  <si>
    <t xml:space="preserve"># Sampled</t>
  </si>
  <si>
    <t xml:space="preserve"># Exceptions</t>
  </si>
  <si>
    <t xml:space="preserve">Exception Description</t>
  </si>
  <si>
    <t xml:space="preserve">Conclusion</t>
  </si>
  <si>
    <t xml:space="preserve">Reviewer</t>
  </si>
  <si>
    <t xml:space="preserve">Review Date</t>
  </si>
  <si>
    <t xml:space="preserve">Credit limit enforcement at order entry</t>
  </si>
  <si>
    <t xml:space="preserve">Confirm orders exceeding approved credit limits are blocked or require override approval</t>
  </si>
  <si>
    <t xml:space="preserve">Select a sample of orders; agree the customer's approved credit limit to the credit file and confirm any orders exceeding the limit had documented override approval</t>
  </si>
  <si>
    <t xml:space="preserve">Judgmental, 20 orders</t>
  </si>
  <si>
    <t xml:space="preserve">Q2 2026</t>
  </si>
  <si>
    <t xml:space="preserve">J. Alvarez</t>
  </si>
  <si>
    <t xml:space="preserve">2026-07-14</t>
  </si>
  <si>
    <t xml:space="preserve">Effective</t>
  </si>
  <si>
    <t xml:space="preserve">2026-07-17</t>
  </si>
  <si>
    <t xml:space="preserve">Shipment-to-order match before revenue recognition</t>
  </si>
  <si>
    <t xml:space="preserve">Confirm revenue is recognized only after delivery/transfer of control</t>
  </si>
  <si>
    <t xml:space="preserve">Select a sample of sales transactions recorded in the period; agree the revenue recognition date to the shipping/delivery confirmation and sales order terms</t>
  </si>
  <si>
    <t xml:space="preserve">Judgmental, 25 transactions</t>
  </si>
  <si>
    <t xml:space="preserve">2026-07-15</t>
  </si>
  <si>
    <t xml:space="preserve">2026-07-18</t>
  </si>
  <si>
    <t xml:space="preserve">Credit memo approval</t>
  </si>
  <si>
    <t xml:space="preserve">Confirm credit memos above threshold are approved by someone independent of the preparer</t>
  </si>
  <si>
    <t xml:space="preserve">Select a sample of credit memos issued in the period; inspect for evidence of independent approval before processing</t>
  </si>
  <si>
    <t xml:space="preserve">Judgmental, 15 credit memos</t>
  </si>
  <si>
    <t xml:space="preserve">R. Patel</t>
  </si>
  <si>
    <t xml:space="preserve">2026-07-16</t>
  </si>
  <si>
    <t xml:space="preserve">One credit memo was approved by the same individual who prepared it due to a temporary coverage gap</t>
  </si>
  <si>
    <t xml:space="preserve">Effective with Exception</t>
  </si>
  <si>
    <t xml:space="preserve">2026-07-19</t>
  </si>
  <si>
    <t xml:space="preserve">Allowance for doubtful accounts recalculation</t>
  </si>
  <si>
    <t xml:space="preserve">Confirm the allowance is recalculated monthly using the approved methodology and reviewed</t>
  </si>
  <si>
    <t xml:space="preserve">Recompute the monthly allowance calculation for a sample of 3 months and agree to the amount booked to the GL; inspect Controller approval</t>
  </si>
  <si>
    <t xml:space="preserve">3 of 12 months</t>
  </si>
  <si>
    <t xml:space="preserve">2026-07-20</t>
  </si>
  <si>
    <t xml:space="preserve">2026-07-23</t>
  </si>
  <si>
    <t xml:space="preserve">Period-end revenue cutoff testing</t>
  </si>
  <si>
    <t xml:space="preserve">Confirm shipments near month-end are recorded in the correct period</t>
  </si>
  <si>
    <t xml:space="preserve">Re-perform the cutoff analysis for shipments within 5 days of month-end for a sample of 2 months</t>
  </si>
  <si>
    <t xml:space="preserve">2 of 12 months</t>
  </si>
  <si>
    <t xml:space="preserve">2026-07-21</t>
  </si>
  <si>
    <t xml:space="preserve">2026-07-24</t>
  </si>
  <si>
    <t xml:space="preserve">Controls Tested:</t>
  </si>
  <si>
    <t xml:space="preserve">Exceptions Noted:</t>
  </si>
  <si>
    <t xml:space="preserve">Controls Concluded Ineffective:</t>
  </si>
  <si>
    <t xml:space="preserve">Deficiency ID</t>
  </si>
  <si>
    <t xml:space="preserve">Related Control ID</t>
  </si>
  <si>
    <t xml:space="preserve">Date Identified</t>
  </si>
  <si>
    <t xml:space="preserve">Deficiency Description</t>
  </si>
  <si>
    <t xml:space="preserve">Root Cause</t>
  </si>
  <si>
    <t xml:space="preserve">Severity</t>
  </si>
  <si>
    <t xml:space="preserve">Financial Statement Impact</t>
  </si>
  <si>
    <t xml:space="preserve">Compensating Controls</t>
  </si>
  <si>
    <t xml:space="preserve">Remediation Plan</t>
  </si>
  <si>
    <t xml:space="preserve">Remediation Owner</t>
  </si>
  <si>
    <t xml:space="preserve">Target Completion Date</t>
  </si>
  <si>
    <t xml:space="preserve">Status</t>
  </si>
  <si>
    <t xml:space="preserve">Retest Date</t>
  </si>
  <si>
    <t xml:space="preserve">Retest Result</t>
  </si>
  <si>
    <t xml:space="preserve">O2C-D01</t>
  </si>
  <si>
    <t xml:space="preserve">One credit memo was approved by the same person who prepared it, bypassing the segregation-of-duties requirement</t>
  </si>
  <si>
    <t xml:space="preserve">The designated approver was on leave and no backup approver was assigned in the workflow tool</t>
  </si>
  <si>
    <t xml:space="preserve">Control Deficiency</t>
  </si>
  <si>
    <t xml:space="preserve">Low - single transaction, immaterial amount</t>
  </si>
  <si>
    <t xml:space="preserve">Monthly credit memo listing is reviewed by the Controller</t>
  </si>
  <si>
    <t xml:space="preserve">Configure a backup approver in the credit memo workflow and retrain the AR team on escalation during absences</t>
  </si>
  <si>
    <t xml:space="preserve">2026-08-31</t>
  </si>
  <si>
    <t xml:space="preserve">Open</t>
  </si>
  <si>
    <t xml:space="preserve">O2C-D02</t>
  </si>
  <si>
    <t xml:space="preserve">2026-05-10</t>
  </si>
  <si>
    <t xml:space="preserve">Two enterprise contracts with bundled implementation services were booked using the standard revenue template without a documented multi-element allocation review</t>
  </si>
  <si>
    <t xml:space="preserve">Sales did not flag the contracts as non-standard during order entry</t>
  </si>
  <si>
    <t xml:space="preserve">Significant Deficiency</t>
  </si>
  <si>
    <t xml:space="preserve">Moderate - potential misallocation between product and services revenue for the affected contracts</t>
  </si>
  <si>
    <t xml:space="preserve">Quarterly analytical review of revenue by line</t>
  </si>
  <si>
    <t xml:space="preserve">Add a mandatory non-standard-terms flag in the CPQ intake workflow that routes bundled contracts to Revenue Accounting before booking</t>
  </si>
  <si>
    <t xml:space="preserve">2026-08-15</t>
  </si>
  <si>
    <t xml:space="preserve">Remediated</t>
  </si>
  <si>
    <t xml:space="preserve">2026-08-10</t>
  </si>
  <si>
    <t xml:space="preserve">Effective - workflow control implemented and tested with no exceptions</t>
  </si>
  <si>
    <t xml:space="preserve">Open Items:</t>
  </si>
  <si>
    <t xml:space="preserve">Material Weaknesses Logged:</t>
  </si>
  <si>
    <t xml:space="preserve">Process Name</t>
  </si>
  <si>
    <t xml:space="preserve">Process Owner</t>
  </si>
  <si>
    <t xml:space="preserve">Process Objective</t>
  </si>
  <si>
    <t xml:space="preserve">Process Description (Step-by-Step)</t>
  </si>
  <si>
    <t xml:space="preserve">Systems / Applications Used</t>
  </si>
  <si>
    <t xml:space="preserve">Key Inputs</t>
  </si>
  <si>
    <t xml:space="preserve">Key Outputs</t>
  </si>
  <si>
    <t xml:space="preserve">Related Control ID(s)</t>
  </si>
  <si>
    <t xml:space="preserve">Risks Addressed</t>
  </si>
  <si>
    <t xml:space="preserve">Segregation of Duties Considerations</t>
  </si>
  <si>
    <t xml:space="preserve">Related Policies / Procedures</t>
  </si>
  <si>
    <t xml:space="preserve">Last Reviewed Date</t>
  </si>
  <si>
    <t xml:space="preserve">Reviewed By</t>
  </si>
  <si>
    <t xml:space="preserve">Order-to-Cash</t>
  </si>
  <si>
    <t xml:space="preserve">VP Sales Operations / Controller</t>
  </si>
  <si>
    <t xml:space="preserve">Ensure customer orders are accurately captured, fulfilled, invoiced, and revenue is recognized in accordance with company policy and applicable accounting standards</t>
  </si>
  <si>
    <t xml:space="preserve">1) Customer order received and credit-checked; 2) Order approved and entered in ERP at approved pricing; 3) Goods shipped/services delivered and confirmed in system; 4) Invoice generated and sent to customer; 5) Revenue recognized based on delivery confirmation and contract terms; 6) Cash applied against open invoices; 7) AR aging and allowance reviewed monthly</t>
  </si>
  <si>
    <t xml:space="preserve">ERP, CRM/CPQ, Credit Management Module</t>
  </si>
  <si>
    <t xml:space="preserve">Customer orders, shipping confirmations, pricing, contracts</t>
  </si>
  <si>
    <t xml:space="preserve">Invoices, revenue journal entries, AR aging</t>
  </si>
  <si>
    <t xml:space="preserve">O2C-C01 through O2C-C09</t>
  </si>
  <si>
    <t xml:space="preserve">Revenue cutoff; credit risk; billing accuracy; AR valuation</t>
  </si>
  <si>
    <t xml:space="preserve">Order entry, credit approval, shipping, billing, cash application, and credit memo approval are performed by different individuals/systems</t>
  </si>
  <si>
    <t xml:space="preserve">Revenue Recognition Policy (ASC 606); Credit Policy</t>
  </si>
  <si>
    <t xml:space="preserve">2026-06-01</t>
  </si>
  <si>
    <t xml:space="preserve">Cash Application &amp; Collections</t>
  </si>
  <si>
    <t xml:space="preserve">Ensure customer payments are applied timely and accurately, and past-due balances are actively managed</t>
  </si>
  <si>
    <t xml:space="preserve">1) Payment received via lockbox/ACH/check; 2) Payment matched and applied to open invoices; 3) Unapplied cash researched weekly; 4) AR aging reviewed and past-due accounts escalated for collection; 5) Allowance for doubtful accounts updated monthly</t>
  </si>
  <si>
    <t xml:space="preserve">ERP AR Subledger, Bank Lockbox</t>
  </si>
  <si>
    <t xml:space="preserve">Remittance advices, bank deposit data</t>
  </si>
  <si>
    <t xml:space="preserve">Applied cash receipts, AR aging report</t>
  </si>
  <si>
    <t xml:space="preserve">O2C-C07, O2C-C08</t>
  </si>
  <si>
    <t xml:space="preserve">Misapplied or unapplied cash; uncollectible receivables</t>
  </si>
  <si>
    <t xml:space="preserve">Cash application preparer is independent of the individual approving account write-offs</t>
  </si>
  <si>
    <t xml:space="preserve">Collections Policy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</si>
</sst>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rolTestingTracker" displayName="ControlTestingTracker" ref="A1:N6" headerRowCount="1" totalsRowCount="0" totalsRowShown="0">
  <autoFilter ref="A1:N6"/>
  <tableColumns count="14">
    <tableColumn id="1" name="Control ID"/>
    <tableColumn id="2" name="Control Description"/>
    <tableColumn id="3" name="Test Objective"/>
    <tableColumn id="4" name="Test Procedure"/>
    <tableColumn id="5" name="Sample Size / Methodology"/>
    <tableColumn id="6" name="Testing Period"/>
    <tableColumn id="7" name="Tester"/>
    <tableColumn id="8" name="Test Date"/>
    <tableColumn id="9" name="# Sampled"/>
    <tableColumn id="10" name="# Exceptions"/>
    <tableColumn id="11" name="Exception Description"/>
    <tableColumn id="12" name="Conclusion"/>
    <tableColumn id="13" name="Reviewer"/>
    <tableColumn id="14" name="Review Date"/>
  </tableColumns>
</table>
</file>

<file path=xl/tables/table2.xml><?xml version="1.0" encoding="utf-8"?>
<table xmlns="http://schemas.openxmlformats.org/spreadsheetml/2006/main" id="2" name="DeficiencyLog" displayName="DeficiencyLog" ref="A1:N3" headerRowCount="1" totalsRowCount="0" totalsRowShown="0">
  <autoFilter ref="A1:N3"/>
  <tableColumns count="14">
    <tableColumn id="1" name="Deficiency ID"/>
    <tableColumn id="2" name="Related Control ID"/>
    <tableColumn id="3" name="Date Identified"/>
    <tableColumn id="4" name="Deficiency Description"/>
    <tableColumn id="5" name="Root Cause"/>
    <tableColumn id="6" name="Severity"/>
    <tableColumn id="7" name="Financial Statement Impact"/>
    <tableColumn id="8" name="Compensating Controls"/>
    <tableColumn id="9" name="Remediation Plan"/>
    <tableColumn id="10" name="Remediation Owner"/>
    <tableColumn id="11" name="Target Completion Date"/>
    <tableColumn id="12" name="Status"/>
    <tableColumn id="13" name="Retest Date"/>
    <tableColumn id="14" name="Retest Result"/>
  </tableColumns>
</table>
</file>

<file path=xl/tables/table3.xml><?xml version="1.0" encoding="utf-8"?>
<table xmlns="http://schemas.openxmlformats.org/spreadsheetml/2006/main" id="3" name="ProcessNarratives" displayName="ProcessNarratives" ref="A1:M3" headerRowCount="1" totalsRowCount="0" totalsRowShown="0">
  <autoFilter ref="A1:M3"/>
  <tableColumns count="13">
    <tableColumn id="1" name="Process Name"/>
    <tableColumn id="2" name="Process Owner"/>
    <tableColumn id="3" name="Process Objective"/>
    <tableColumn id="4" name="Process Description (Step-by-Step)"/>
    <tableColumn id="5" name="Systems / Applications Used"/>
    <tableColumn id="6" name="Key Inputs"/>
    <tableColumn id="7" name="Key Outputs"/>
    <tableColumn id="8" name="Related Control ID(s)"/>
    <tableColumn id="9" name="Risks Addressed"/>
    <tableColumn id="10" name="Segregation of Duties Considerations"/>
    <tableColumn id="11" name="Related Policies / Procedures"/>
    <tableColumn id="12" name="Last Reviewed Date"/>
    <tableColumn id="13" name="Reviewed By"/>
  </tableColumns>
</table>
</file>

<file path=xl/tables/table4.xml><?xml version="1.0" encoding="utf-8"?>
<table xmlns="http://schemas.openxmlformats.org/spreadsheetml/2006/main" id="4" name="RiskControlMatrix" displayName="RiskControlMatrix" ref="A1:O11" headerRowCount="1" totalsRowCount="0" totalsRowShown="0">
  <autoFilter ref="A1:O11"/>
  <tableColumns count="15">
    <tableColumn id="1" name="Process"/>
    <tableColumn id="2" name="Sub-Process"/>
    <tableColumn id="3" name="Risk ID"/>
    <tableColumn id="4" name="Risk Description"/>
    <tableColumn id="5" name="Financial Statement Assertion(s)"/>
    <tableColumn id="6" name="COSO Component"/>
    <tableColumn id="7" name="Control ID"/>
    <tableColumn id="8" name="Control Description"/>
    <tableColumn id="9" name="Control Type&#10;(Preventive/Detective)"/>
    <tableColumn id="10" name="Control Nature&#10;(Manual/Automated/IT-Dependent)"/>
    <tableColumn id="11" name="Frequency"/>
    <tableColumn id="12" name="Control Owner"/>
    <tableColumn id="13" name="Key Control&#10;(Y/N)"/>
    <tableColumn id="14" name="Evidence / Documentation"/>
    <tableColumn id="15" name="Systems / Applic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" hidden="false" customHeight="true" outlineLevel="0" collapsed="false">
      <c r="B6" s="4" t="s">
        <v>3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3" t="s">
        <v>4</v>
      </c>
    </row>
    <row r="9" customFormat="false" ht="45" hidden="false" customHeight="true" outlineLevel="0" collapsed="false">
      <c r="B9" s="4" t="s">
        <v>5</v>
      </c>
    </row>
    <row r="10" customFormat="false" ht="45" hidden="false" customHeight="true" outlineLevel="0" collapsed="false">
      <c r="B10" s="4" t="s">
        <v>6</v>
      </c>
    </row>
    <row r="11" customFormat="false" ht="45" hidden="false" customHeight="true" outlineLevel="0" collapsed="false">
      <c r="B11" s="4" t="s">
        <v>7</v>
      </c>
    </row>
    <row r="12" customFormat="false" ht="45" hidden="false" customHeight="true" outlineLevel="0" collapsed="false">
      <c r="B12" s="4" t="s">
        <v>8</v>
      </c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3" t="s">
        <v>9</v>
      </c>
    </row>
    <row r="15" customFormat="false" ht="45" hidden="false" customHeight="true" outlineLevel="0" collapsed="false">
      <c r="B15" s="4" t="s">
        <v>10</v>
      </c>
    </row>
    <row r="16" customFormat="false" ht="15" hidden="false" customHeight="false" outlineLevel="0" collapsed="false">
      <c r="B16" s="4"/>
    </row>
    <row r="17" customFormat="false" ht="45" hidden="false" customHeight="true" outlineLevel="0" collapsed="false">
      <c r="B17" s="4" t="s">
        <v>11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3" t="s">
        <v>12</v>
      </c>
    </row>
    <row r="20" customFormat="false" ht="23.85" hidden="false" customHeight="false" outlineLevel="0" collapsed="false">
      <c r="B20" s="4" t="s">
        <v>13</v>
      </c>
    </row>
    <row r="21" customFormat="false" ht="23.85" hidden="false" customHeight="false" outlineLevel="0" collapsed="false">
      <c r="B21" s="4" t="s">
        <v>14</v>
      </c>
    </row>
    <row r="22" customFormat="false" ht="23.85" hidden="false" customHeight="false" outlineLevel="0" collapsed="false">
      <c r="B2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20"/>
  </cols>
  <sheetData>
    <row r="1" customFormat="false" ht="30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</row>
    <row r="2" customFormat="false" ht="46.25" hidden="false" customHeight="false" outlineLevel="0" collapsed="false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</row>
    <row r="3" customFormat="false" ht="46.25" hidden="false" customHeight="false" outlineLevel="0" collapsed="false">
      <c r="A3" s="6" t="s">
        <v>31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36</v>
      </c>
      <c r="G3" s="6" t="s">
        <v>50</v>
      </c>
      <c r="H3" s="6" t="s">
        <v>51</v>
      </c>
      <c r="I3" s="6" t="s">
        <v>39</v>
      </c>
      <c r="J3" s="6" t="s">
        <v>52</v>
      </c>
      <c r="K3" s="6" t="s">
        <v>41</v>
      </c>
      <c r="L3" s="6" t="s">
        <v>53</v>
      </c>
      <c r="M3" s="6" t="s">
        <v>43</v>
      </c>
      <c r="N3" s="6" t="s">
        <v>54</v>
      </c>
      <c r="O3" s="6" t="s">
        <v>55</v>
      </c>
    </row>
    <row r="4" customFormat="false" ht="35.05" hidden="false" customHeight="false" outlineLevel="0" collapsed="false">
      <c r="A4" s="6" t="s">
        <v>56</v>
      </c>
      <c r="B4" s="6" t="s">
        <v>57</v>
      </c>
      <c r="C4" s="6" t="s">
        <v>58</v>
      </c>
      <c r="D4" s="6" t="s">
        <v>59</v>
      </c>
      <c r="E4" s="6" t="s">
        <v>60</v>
      </c>
      <c r="F4" s="6" t="s">
        <v>36</v>
      </c>
      <c r="G4" s="6" t="s">
        <v>61</v>
      </c>
      <c r="H4" s="6" t="s">
        <v>62</v>
      </c>
      <c r="I4" s="6" t="s">
        <v>39</v>
      </c>
      <c r="J4" s="6" t="s">
        <v>52</v>
      </c>
      <c r="K4" s="6" t="s">
        <v>41</v>
      </c>
      <c r="L4" s="6" t="s">
        <v>63</v>
      </c>
      <c r="M4" s="6" t="s">
        <v>43</v>
      </c>
      <c r="N4" s="6" t="s">
        <v>64</v>
      </c>
      <c r="O4" s="6" t="s">
        <v>65</v>
      </c>
    </row>
    <row r="5" customFormat="false" ht="46.25" hidden="false" customHeight="false" outlineLevel="0" collapsed="false">
      <c r="A5" s="6" t="s">
        <v>56</v>
      </c>
      <c r="B5" s="6" t="s">
        <v>66</v>
      </c>
      <c r="C5" s="6" t="s">
        <v>67</v>
      </c>
      <c r="D5" s="6" t="s">
        <v>68</v>
      </c>
      <c r="E5" s="6" t="s">
        <v>69</v>
      </c>
      <c r="F5" s="6" t="s">
        <v>36</v>
      </c>
      <c r="G5" s="6" t="s">
        <v>70</v>
      </c>
      <c r="H5" s="6" t="s">
        <v>71</v>
      </c>
      <c r="I5" s="6" t="s">
        <v>39</v>
      </c>
      <c r="J5" s="6" t="s">
        <v>72</v>
      </c>
      <c r="K5" s="6" t="s">
        <v>73</v>
      </c>
      <c r="L5" s="6" t="s">
        <v>63</v>
      </c>
      <c r="M5" s="6" t="s">
        <v>43</v>
      </c>
      <c r="N5" s="6" t="s">
        <v>74</v>
      </c>
      <c r="O5" s="6" t="s">
        <v>75</v>
      </c>
    </row>
    <row r="6" customFormat="false" ht="46.25" hidden="false" customHeight="false" outlineLevel="0" collapsed="false">
      <c r="A6" s="6" t="s">
        <v>76</v>
      </c>
      <c r="B6" s="6" t="s">
        <v>77</v>
      </c>
      <c r="C6" s="6" t="s">
        <v>78</v>
      </c>
      <c r="D6" s="6" t="s">
        <v>79</v>
      </c>
      <c r="E6" s="6" t="s">
        <v>49</v>
      </c>
      <c r="F6" s="6" t="s">
        <v>36</v>
      </c>
      <c r="G6" s="6" t="s">
        <v>80</v>
      </c>
      <c r="H6" s="6" t="s">
        <v>81</v>
      </c>
      <c r="I6" s="6" t="s">
        <v>39</v>
      </c>
      <c r="J6" s="6" t="s">
        <v>52</v>
      </c>
      <c r="K6" s="6" t="s">
        <v>41</v>
      </c>
      <c r="L6" s="6" t="s">
        <v>82</v>
      </c>
      <c r="M6" s="6" t="s">
        <v>43</v>
      </c>
      <c r="N6" s="6" t="s">
        <v>83</v>
      </c>
      <c r="O6" s="6" t="s">
        <v>84</v>
      </c>
    </row>
    <row r="7" customFormat="false" ht="35.05" hidden="false" customHeight="false" outlineLevel="0" collapsed="false">
      <c r="A7" s="6" t="s">
        <v>76</v>
      </c>
      <c r="B7" s="6" t="s">
        <v>85</v>
      </c>
      <c r="C7" s="6" t="s">
        <v>86</v>
      </c>
      <c r="D7" s="6" t="s">
        <v>87</v>
      </c>
      <c r="E7" s="6" t="s">
        <v>88</v>
      </c>
      <c r="F7" s="6" t="s">
        <v>36</v>
      </c>
      <c r="G7" s="6" t="s">
        <v>89</v>
      </c>
      <c r="H7" s="6" t="s">
        <v>90</v>
      </c>
      <c r="I7" s="6" t="s">
        <v>39</v>
      </c>
      <c r="J7" s="6" t="s">
        <v>72</v>
      </c>
      <c r="K7" s="6" t="s">
        <v>41</v>
      </c>
      <c r="L7" s="6" t="s">
        <v>91</v>
      </c>
      <c r="M7" s="6" t="s">
        <v>43</v>
      </c>
      <c r="N7" s="6" t="s">
        <v>92</v>
      </c>
      <c r="O7" s="6" t="s">
        <v>84</v>
      </c>
    </row>
    <row r="8" customFormat="false" ht="46.25" hidden="false" customHeight="false" outlineLevel="0" collapsed="false">
      <c r="A8" s="6" t="s">
        <v>93</v>
      </c>
      <c r="B8" s="6" t="s">
        <v>94</v>
      </c>
      <c r="C8" s="6" t="s">
        <v>95</v>
      </c>
      <c r="D8" s="6" t="s">
        <v>96</v>
      </c>
      <c r="E8" s="6" t="s">
        <v>97</v>
      </c>
      <c r="F8" s="6" t="s">
        <v>36</v>
      </c>
      <c r="G8" s="6" t="s">
        <v>98</v>
      </c>
      <c r="H8" s="6" t="s">
        <v>99</v>
      </c>
      <c r="I8" s="6" t="s">
        <v>100</v>
      </c>
      <c r="J8" s="6" t="s">
        <v>72</v>
      </c>
      <c r="K8" s="6" t="s">
        <v>101</v>
      </c>
      <c r="L8" s="6" t="s">
        <v>91</v>
      </c>
      <c r="M8" s="6" t="s">
        <v>43</v>
      </c>
      <c r="N8" s="6" t="s">
        <v>102</v>
      </c>
      <c r="O8" s="6" t="s">
        <v>103</v>
      </c>
    </row>
    <row r="9" customFormat="false" ht="46.25" hidden="false" customHeight="false" outlineLevel="0" collapsed="false">
      <c r="A9" s="6" t="s">
        <v>104</v>
      </c>
      <c r="B9" s="6" t="s">
        <v>105</v>
      </c>
      <c r="C9" s="6" t="s">
        <v>106</v>
      </c>
      <c r="D9" s="6" t="s">
        <v>107</v>
      </c>
      <c r="E9" s="6" t="s">
        <v>35</v>
      </c>
      <c r="F9" s="6" t="s">
        <v>36</v>
      </c>
      <c r="G9" s="6" t="s">
        <v>108</v>
      </c>
      <c r="H9" s="6" t="s">
        <v>109</v>
      </c>
      <c r="I9" s="6" t="s">
        <v>100</v>
      </c>
      <c r="J9" s="6" t="s">
        <v>72</v>
      </c>
      <c r="K9" s="6" t="s">
        <v>110</v>
      </c>
      <c r="L9" s="6" t="s">
        <v>111</v>
      </c>
      <c r="M9" s="6" t="s">
        <v>43</v>
      </c>
      <c r="N9" s="6" t="s">
        <v>112</v>
      </c>
      <c r="O9" s="6" t="s">
        <v>113</v>
      </c>
    </row>
    <row r="10" customFormat="false" ht="35.05" hidden="false" customHeight="false" outlineLevel="0" collapsed="false">
      <c r="A10" s="6" t="s">
        <v>114</v>
      </c>
      <c r="B10" s="6" t="s">
        <v>115</v>
      </c>
      <c r="C10" s="6" t="s">
        <v>116</v>
      </c>
      <c r="D10" s="6" t="s">
        <v>117</v>
      </c>
      <c r="E10" s="6" t="s">
        <v>118</v>
      </c>
      <c r="F10" s="6" t="s">
        <v>119</v>
      </c>
      <c r="G10" s="6" t="s">
        <v>120</v>
      </c>
      <c r="H10" s="6" t="s">
        <v>121</v>
      </c>
      <c r="I10" s="6" t="s">
        <v>100</v>
      </c>
      <c r="J10" s="6" t="s">
        <v>72</v>
      </c>
      <c r="K10" s="6" t="s">
        <v>110</v>
      </c>
      <c r="L10" s="6" t="s">
        <v>63</v>
      </c>
      <c r="M10" s="6" t="s">
        <v>43</v>
      </c>
      <c r="N10" s="6" t="s">
        <v>122</v>
      </c>
      <c r="O10" s="6" t="s">
        <v>65</v>
      </c>
    </row>
    <row r="11" customFormat="false" ht="46.25" hidden="false" customHeight="false" outlineLevel="0" collapsed="false">
      <c r="A11" s="6" t="s">
        <v>123</v>
      </c>
      <c r="B11" s="6" t="s">
        <v>124</v>
      </c>
      <c r="C11" s="6" t="s">
        <v>125</v>
      </c>
      <c r="D11" s="6" t="s">
        <v>126</v>
      </c>
      <c r="E11" s="6" t="s">
        <v>88</v>
      </c>
      <c r="F11" s="6" t="s">
        <v>36</v>
      </c>
      <c r="G11" s="6" t="s">
        <v>127</v>
      </c>
      <c r="H11" s="6" t="s">
        <v>128</v>
      </c>
      <c r="I11" s="6" t="s">
        <v>39</v>
      </c>
      <c r="J11" s="6" t="s">
        <v>52</v>
      </c>
      <c r="K11" s="6" t="s">
        <v>129</v>
      </c>
      <c r="L11" s="6" t="s">
        <v>130</v>
      </c>
      <c r="M11" s="6" t="s">
        <v>131</v>
      </c>
      <c r="N11" s="6" t="s">
        <v>132</v>
      </c>
      <c r="O11" s="6" t="s">
        <v>133</v>
      </c>
    </row>
    <row r="13" customFormat="false" ht="15" hidden="false" customHeight="false" outlineLevel="0" collapsed="false">
      <c r="A13" s="7" t="s">
        <v>134</v>
      </c>
      <c r="B13" s="7" t="n">
        <f aca="false">COUNTA(A2:A11)-COUNTBLANK(A2:A11)</f>
        <v>10</v>
      </c>
    </row>
    <row r="14" customFormat="false" ht="15" hidden="false" customHeight="false" outlineLevel="0" collapsed="false">
      <c r="A14" s="7" t="s">
        <v>135</v>
      </c>
      <c r="B14" s="7" t="n">
        <f aca="false">COUNTIF(M2:M11,"Y")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136</v>
      </c>
      <c r="D1" s="5" t="s">
        <v>137</v>
      </c>
      <c r="E1" s="5" t="s">
        <v>138</v>
      </c>
      <c r="F1" s="5" t="s">
        <v>139</v>
      </c>
      <c r="G1" s="5" t="s">
        <v>140</v>
      </c>
      <c r="H1" s="5" t="s">
        <v>141</v>
      </c>
      <c r="I1" s="5" t="s">
        <v>142</v>
      </c>
      <c r="J1" s="5" t="s">
        <v>143</v>
      </c>
      <c r="K1" s="5" t="s">
        <v>144</v>
      </c>
      <c r="L1" s="5" t="s">
        <v>145</v>
      </c>
      <c r="M1" s="5" t="s">
        <v>146</v>
      </c>
      <c r="N1" s="5" t="s">
        <v>147</v>
      </c>
    </row>
    <row r="2" customFormat="false" ht="46.25" hidden="false" customHeight="false" outlineLevel="0" collapsed="false">
      <c r="A2" s="6" t="s">
        <v>37</v>
      </c>
      <c r="B2" s="6" t="s">
        <v>148</v>
      </c>
      <c r="C2" s="6" t="s">
        <v>149</v>
      </c>
      <c r="D2" s="6" t="s">
        <v>150</v>
      </c>
      <c r="E2" s="6" t="s">
        <v>151</v>
      </c>
      <c r="F2" s="6" t="s">
        <v>152</v>
      </c>
      <c r="G2" s="6" t="s">
        <v>153</v>
      </c>
      <c r="H2" s="6" t="s">
        <v>154</v>
      </c>
      <c r="I2" s="6" t="n">
        <v>20</v>
      </c>
      <c r="J2" s="6" t="n">
        <v>0</v>
      </c>
      <c r="K2" s="6"/>
      <c r="L2" s="6" t="s">
        <v>155</v>
      </c>
      <c r="M2" s="6" t="s">
        <v>42</v>
      </c>
      <c r="N2" s="6" t="s">
        <v>156</v>
      </c>
    </row>
    <row r="3" customFormat="false" ht="46.25" hidden="false" customHeight="false" outlineLevel="0" collapsed="false">
      <c r="A3" s="6" t="s">
        <v>61</v>
      </c>
      <c r="B3" s="6" t="s">
        <v>157</v>
      </c>
      <c r="C3" s="6" t="s">
        <v>158</v>
      </c>
      <c r="D3" s="6" t="s">
        <v>159</v>
      </c>
      <c r="E3" s="6" t="s">
        <v>160</v>
      </c>
      <c r="F3" s="6" t="s">
        <v>152</v>
      </c>
      <c r="G3" s="6" t="s">
        <v>153</v>
      </c>
      <c r="H3" s="6" t="s">
        <v>161</v>
      </c>
      <c r="I3" s="6" t="n">
        <v>25</v>
      </c>
      <c r="J3" s="6" t="n">
        <v>0</v>
      </c>
      <c r="K3" s="6"/>
      <c r="L3" s="6" t="s">
        <v>155</v>
      </c>
      <c r="M3" s="6" t="s">
        <v>63</v>
      </c>
      <c r="N3" s="6" t="s">
        <v>162</v>
      </c>
    </row>
    <row r="4" customFormat="false" ht="46.25" hidden="false" customHeight="false" outlineLevel="0" collapsed="false">
      <c r="A4" s="6" t="s">
        <v>89</v>
      </c>
      <c r="B4" s="6" t="s">
        <v>163</v>
      </c>
      <c r="C4" s="6" t="s">
        <v>164</v>
      </c>
      <c r="D4" s="6" t="s">
        <v>165</v>
      </c>
      <c r="E4" s="6" t="s">
        <v>166</v>
      </c>
      <c r="F4" s="6" t="s">
        <v>152</v>
      </c>
      <c r="G4" s="6" t="s">
        <v>167</v>
      </c>
      <c r="H4" s="6" t="s">
        <v>168</v>
      </c>
      <c r="I4" s="6" t="n">
        <v>15</v>
      </c>
      <c r="J4" s="6" t="n">
        <v>1</v>
      </c>
      <c r="K4" s="6" t="s">
        <v>169</v>
      </c>
      <c r="L4" s="6" t="s">
        <v>170</v>
      </c>
      <c r="M4" s="6" t="s">
        <v>91</v>
      </c>
      <c r="N4" s="6" t="s">
        <v>171</v>
      </c>
    </row>
    <row r="5" customFormat="false" ht="46.25" hidden="false" customHeight="false" outlineLevel="0" collapsed="false">
      <c r="A5" s="6" t="s">
        <v>108</v>
      </c>
      <c r="B5" s="6" t="s">
        <v>172</v>
      </c>
      <c r="C5" s="6" t="s">
        <v>173</v>
      </c>
      <c r="D5" s="6" t="s">
        <v>174</v>
      </c>
      <c r="E5" s="6" t="s">
        <v>175</v>
      </c>
      <c r="F5" s="6" t="s">
        <v>152</v>
      </c>
      <c r="G5" s="6" t="s">
        <v>153</v>
      </c>
      <c r="H5" s="6" t="s">
        <v>176</v>
      </c>
      <c r="I5" s="6" t="n">
        <v>3</v>
      </c>
      <c r="J5" s="6" t="n">
        <v>0</v>
      </c>
      <c r="K5" s="6"/>
      <c r="L5" s="6" t="s">
        <v>155</v>
      </c>
      <c r="M5" s="6" t="s">
        <v>111</v>
      </c>
      <c r="N5" s="6" t="s">
        <v>177</v>
      </c>
    </row>
    <row r="6" customFormat="false" ht="35.05" hidden="false" customHeight="false" outlineLevel="0" collapsed="false">
      <c r="A6" s="6" t="s">
        <v>120</v>
      </c>
      <c r="B6" s="6" t="s">
        <v>178</v>
      </c>
      <c r="C6" s="6" t="s">
        <v>179</v>
      </c>
      <c r="D6" s="6" t="s">
        <v>180</v>
      </c>
      <c r="E6" s="6" t="s">
        <v>181</v>
      </c>
      <c r="F6" s="6" t="s">
        <v>152</v>
      </c>
      <c r="G6" s="6" t="s">
        <v>167</v>
      </c>
      <c r="H6" s="6" t="s">
        <v>182</v>
      </c>
      <c r="I6" s="6" t="n">
        <v>2</v>
      </c>
      <c r="J6" s="6" t="n">
        <v>0</v>
      </c>
      <c r="K6" s="6"/>
      <c r="L6" s="6" t="s">
        <v>155</v>
      </c>
      <c r="M6" s="6" t="s">
        <v>63</v>
      </c>
      <c r="N6" s="6" t="s">
        <v>183</v>
      </c>
    </row>
    <row r="8" customFormat="false" ht="15" hidden="false" customHeight="false" outlineLevel="0" collapsed="false">
      <c r="A8" s="7" t="s">
        <v>184</v>
      </c>
      <c r="B8" s="7" t="n">
        <f aca="false">COUNTA(A2:A6)</f>
        <v>5</v>
      </c>
    </row>
    <row r="9" customFormat="false" ht="15" hidden="false" customHeight="false" outlineLevel="0" collapsed="false">
      <c r="A9" s="7" t="s">
        <v>185</v>
      </c>
      <c r="B9" s="7" t="n">
        <f aca="false">SUM(J2:J6)</f>
        <v>1</v>
      </c>
    </row>
    <row r="10" customFormat="false" ht="15" hidden="false" customHeight="false" outlineLevel="0" collapsed="false">
      <c r="A10" s="7" t="s">
        <v>186</v>
      </c>
      <c r="B10" s="7" t="n">
        <f aca="false">COUNTIF(L2:L6,"Ineffective")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8" min="7" style="0" width="24"/>
    <col collapsed="false" customWidth="true" hidden="false" outlineLevel="0" max="9" min="9" style="0" width="3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5" t="s">
        <v>187</v>
      </c>
      <c r="B1" s="5" t="s">
        <v>188</v>
      </c>
      <c r="C1" s="5" t="s">
        <v>189</v>
      </c>
      <c r="D1" s="5" t="s">
        <v>190</v>
      </c>
      <c r="E1" s="5" t="s">
        <v>191</v>
      </c>
      <c r="F1" s="5" t="s">
        <v>192</v>
      </c>
      <c r="G1" s="5" t="s">
        <v>193</v>
      </c>
      <c r="H1" s="5" t="s">
        <v>194</v>
      </c>
      <c r="I1" s="5" t="s">
        <v>195</v>
      </c>
      <c r="J1" s="5" t="s">
        <v>196</v>
      </c>
      <c r="K1" s="5" t="s">
        <v>197</v>
      </c>
      <c r="L1" s="5" t="s">
        <v>198</v>
      </c>
      <c r="M1" s="5" t="s">
        <v>199</v>
      </c>
      <c r="N1" s="5" t="s">
        <v>200</v>
      </c>
    </row>
    <row r="2" customFormat="false" ht="46.25" hidden="false" customHeight="false" outlineLevel="0" collapsed="false">
      <c r="A2" s="6" t="s">
        <v>201</v>
      </c>
      <c r="B2" s="6" t="s">
        <v>89</v>
      </c>
      <c r="C2" s="6" t="s">
        <v>168</v>
      </c>
      <c r="D2" s="6" t="s">
        <v>202</v>
      </c>
      <c r="E2" s="6" t="s">
        <v>203</v>
      </c>
      <c r="F2" s="6" t="s">
        <v>204</v>
      </c>
      <c r="G2" s="6" t="s">
        <v>205</v>
      </c>
      <c r="H2" s="6" t="s">
        <v>206</v>
      </c>
      <c r="I2" s="6" t="s">
        <v>207</v>
      </c>
      <c r="J2" s="6" t="s">
        <v>91</v>
      </c>
      <c r="K2" s="6" t="s">
        <v>208</v>
      </c>
      <c r="L2" s="6" t="s">
        <v>209</v>
      </c>
      <c r="M2" s="6"/>
      <c r="N2" s="6"/>
    </row>
    <row r="3" customFormat="false" ht="57.45" hidden="false" customHeight="false" outlineLevel="0" collapsed="false">
      <c r="A3" s="6" t="s">
        <v>210</v>
      </c>
      <c r="B3" s="6" t="s">
        <v>70</v>
      </c>
      <c r="C3" s="6" t="s">
        <v>211</v>
      </c>
      <c r="D3" s="6" t="s">
        <v>212</v>
      </c>
      <c r="E3" s="6" t="s">
        <v>213</v>
      </c>
      <c r="F3" s="6" t="s">
        <v>214</v>
      </c>
      <c r="G3" s="6" t="s">
        <v>215</v>
      </c>
      <c r="H3" s="6" t="s">
        <v>216</v>
      </c>
      <c r="I3" s="6" t="s">
        <v>217</v>
      </c>
      <c r="J3" s="6" t="s">
        <v>63</v>
      </c>
      <c r="K3" s="6" t="s">
        <v>218</v>
      </c>
      <c r="L3" s="6" t="s">
        <v>219</v>
      </c>
      <c r="M3" s="6" t="s">
        <v>220</v>
      </c>
      <c r="N3" s="6" t="s">
        <v>221</v>
      </c>
    </row>
    <row r="5" customFormat="false" ht="15" hidden="false" customHeight="false" outlineLevel="0" collapsed="false">
      <c r="A5" s="7" t="s">
        <v>222</v>
      </c>
      <c r="B5" s="7" t="n">
        <f aca="false">COUNTIF(L2:L3,"Open")+COUNTIF(L2:L3,"In Progress")</f>
        <v>1</v>
      </c>
    </row>
    <row r="6" customFormat="false" ht="15" hidden="false" customHeight="false" outlineLevel="0" collapsed="false">
      <c r="A6" s="7" t="s">
        <v>223</v>
      </c>
      <c r="B6" s="7" t="n">
        <f aca="false">COUNTIF(F2:F3,"Material Weakness")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7" min="5" style="0" width="20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3" min="12" style="0" width="14"/>
  </cols>
  <sheetData>
    <row r="1" customFormat="false" ht="30" hidden="false" customHeight="true" outlineLevel="0" collapsed="false">
      <c r="A1" s="5" t="s">
        <v>224</v>
      </c>
      <c r="B1" s="5" t="s">
        <v>225</v>
      </c>
      <c r="C1" s="5" t="s">
        <v>226</v>
      </c>
      <c r="D1" s="5" t="s">
        <v>227</v>
      </c>
      <c r="E1" s="5" t="s">
        <v>228</v>
      </c>
      <c r="F1" s="5" t="s">
        <v>229</v>
      </c>
      <c r="G1" s="5" t="s">
        <v>230</v>
      </c>
      <c r="H1" s="5" t="s">
        <v>231</v>
      </c>
      <c r="I1" s="5" t="s">
        <v>232</v>
      </c>
      <c r="J1" s="5" t="s">
        <v>233</v>
      </c>
      <c r="K1" s="5" t="s">
        <v>234</v>
      </c>
      <c r="L1" s="5" t="s">
        <v>235</v>
      </c>
      <c r="M1" s="5" t="s">
        <v>236</v>
      </c>
    </row>
    <row r="2" customFormat="false" ht="91" hidden="false" customHeight="false" outlineLevel="0" collapsed="false">
      <c r="A2" s="6" t="s">
        <v>237</v>
      </c>
      <c r="B2" s="6" t="s">
        <v>238</v>
      </c>
      <c r="C2" s="6" t="s">
        <v>239</v>
      </c>
      <c r="D2" s="6" t="s">
        <v>240</v>
      </c>
      <c r="E2" s="6" t="s">
        <v>241</v>
      </c>
      <c r="F2" s="6" t="s">
        <v>242</v>
      </c>
      <c r="G2" s="6" t="s">
        <v>243</v>
      </c>
      <c r="H2" s="6" t="s">
        <v>244</v>
      </c>
      <c r="I2" s="6" t="s">
        <v>245</v>
      </c>
      <c r="J2" s="6" t="s">
        <v>246</v>
      </c>
      <c r="K2" s="6" t="s">
        <v>247</v>
      </c>
      <c r="L2" s="6" t="s">
        <v>248</v>
      </c>
      <c r="M2" s="6" t="s">
        <v>111</v>
      </c>
    </row>
    <row r="3" customFormat="false" ht="68.65" hidden="false" customHeight="false" outlineLevel="0" collapsed="false">
      <c r="A3" s="6" t="s">
        <v>249</v>
      </c>
      <c r="B3" s="6" t="s">
        <v>91</v>
      </c>
      <c r="C3" s="6" t="s">
        <v>250</v>
      </c>
      <c r="D3" s="6" t="s">
        <v>251</v>
      </c>
      <c r="E3" s="6" t="s">
        <v>252</v>
      </c>
      <c r="F3" s="6" t="s">
        <v>253</v>
      </c>
      <c r="G3" s="6" t="s">
        <v>254</v>
      </c>
      <c r="H3" s="6" t="s">
        <v>255</v>
      </c>
      <c r="I3" s="6" t="s">
        <v>256</v>
      </c>
      <c r="J3" s="6" t="s">
        <v>257</v>
      </c>
      <c r="K3" s="6" t="s">
        <v>258</v>
      </c>
      <c r="L3" s="6" t="s">
        <v>248</v>
      </c>
      <c r="M3" s="6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2026-09-07T13:22:50Z</dcterms:created>
  <dc:creator>openpyxl</dc:creator>
  <dc:description/>
  <dc:language>en-US</dc:language>
  <cp:lastModifiedBy/>
  <dcterms:modified xsi:type="dcterms:W3CDTF">2026-09-07T13:22:50Z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