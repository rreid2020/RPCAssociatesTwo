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<sst xmlns="http://schemas.openxmlformats.org/spreadsheetml/2006/main" count="325" uniqueCount="251">
  <si>
    <t xml:space="preserve">ICFM / ICFR Template — Payroll &amp; Human Capital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</si>
  <si>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</si>
  <si>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</si>
  <si>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</si>
  <si>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</si>
  <si>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</si>
  <si>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</si>
  <si>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</si>
  <si>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</si>
  <si>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</si>
  <si>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</si>
  <si>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</si>
  <si>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</si>
  <si>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</si>
  <si>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</si>
  <si>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</si>
  <si>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</si>
  <si>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</si>
  <si>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</si>
  <si>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</si>
  <si>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</si>
  <si>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</si>
  <si>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</si>
  <si>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</si>
  <si>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</si>
  <si>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</si>
  <si>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</si>
  <si>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</si>
  <si>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</si>
  <si>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</si>
  <si>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</si>
  <si>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Employee Master Data</t>
  </si>
  <si>
    <t xml:space="preserve">New Hire / Termination Processing</t>
  </si>
  <si>
    <t xml:space="preserve">PAY-R01</t>
  </si>
  <si>
    <t xml:space="preserve">Payroll is disbursed to terminated or non-existent ("ghost") employees</t>
  </si>
  <si>
    <t xml:space="preserve">Existence/Occurrence</t>
  </si>
  <si>
    <t xml:space="preserve">Control Activities</t>
  </si>
  <si>
    <t xml:space="preserve">PAY-C01</t>
  </si>
  <si>
    <t xml:space="preserve">HR provides a termination report to Payroll each pay cycle; Payroll reconciles the active employee roster to the HRIS before each pay run</t>
  </si>
  <si>
    <t xml:space="preserve">Detective</t>
  </si>
  <si>
    <t xml:space="preserve">Manual</t>
  </si>
  <si>
    <t xml:space="preserve">Per Pay Cycle</t>
  </si>
  <si>
    <t xml:space="preserve">Payroll Manager</t>
  </si>
  <si>
    <t xml:space="preserve">Y</t>
  </si>
  <si>
    <t xml:space="preserve">Roster reconciliation workpaper</t>
  </si>
  <si>
    <t xml:space="preserve">HRIS / Payroll System</t>
  </si>
  <si>
    <t xml:space="preserve">Pay Rate &amp; Deduction Changes</t>
  </si>
  <si>
    <t xml:space="preserve">PAY-R02</t>
  </si>
  <si>
    <t xml:space="preserve">Unauthorized changes are made to employee pay rates, tax withholding, or deduction elections</t>
  </si>
  <si>
    <t xml:space="preserve">Accuracy/Existence</t>
  </si>
  <si>
    <t xml:space="preserve">PAY-C02</t>
  </si>
  <si>
    <t xml:space="preserve">Changes to pay rates and deductions require manager/HR approval in the HRIS workflow before taking effect; a change report is reviewed by Payroll each cycle for reasonableness</t>
  </si>
  <si>
    <t xml:space="preserve">Preventive/Detective</t>
  </si>
  <si>
    <t xml:space="preserve">IT-Dependent Manual</t>
  </si>
  <si>
    <t xml:space="preserve">Per Change / Per Pay Cycle</t>
  </si>
  <si>
    <t xml:space="preserve">Approved change form; change report review</t>
  </si>
  <si>
    <t xml:space="preserve">HRIS System</t>
  </si>
  <si>
    <t xml:space="preserve">Time &amp; Attendance</t>
  </si>
  <si>
    <t xml:space="preserve">Hours Worked / Overtime Approval</t>
  </si>
  <si>
    <t xml:space="preserve">PAY-R03</t>
  </si>
  <si>
    <t xml:space="preserve">Hours worked, including overtime, are recorded inaccurately or without supervisor approval</t>
  </si>
  <si>
    <t xml:space="preserve">Accuracy</t>
  </si>
  <si>
    <t xml:space="preserve">PAY-C03</t>
  </si>
  <si>
    <t xml:space="preserve">Time clock/timesheet data is reviewed and approved by the employee's supervisor before submission to Payroll; overtime above policy thresholds requires an additional approval</t>
  </si>
  <si>
    <t xml:space="preserve">Preventive</t>
  </si>
  <si>
    <t xml:space="preserve">Department Supervisors</t>
  </si>
  <si>
    <t xml:space="preserve">Approved timesheet/time clock export</t>
  </si>
  <si>
    <t xml:space="preserve">Time &amp; Attendance System</t>
  </si>
  <si>
    <t xml:space="preserve">Pay Calculation</t>
  </si>
  <si>
    <t xml:space="preserve">Gross-to-Net Calculation Review</t>
  </si>
  <si>
    <t xml:space="preserve">PAY-R04</t>
  </si>
  <si>
    <t xml:space="preserve">Gross pay, tax withholding, or deductions are calculated incorrectly, misstating payroll expense and liabilities</t>
  </si>
  <si>
    <t xml:space="preserve">PAY-C04</t>
  </si>
  <si>
    <t xml:space="preserve">A pre-payroll register is reviewed by the Payroll Manager for reasonableness (total headcount, gross pay variance vs. prior period, exception items) before payroll is finalized and released</t>
  </si>
  <si>
    <t xml:space="preserve">Reviewed and approved payroll register</t>
  </si>
  <si>
    <t xml:space="preserve">Payroll System</t>
  </si>
  <si>
    <t xml:space="preserve">Pay Disbursement</t>
  </si>
  <si>
    <t xml:space="preserve">Direct Deposit / Payment Release</t>
  </si>
  <si>
    <t xml:space="preserve">PAY-R05</t>
  </si>
  <si>
    <t xml:space="preserve">Payroll funds are disbursed to unauthorized bank accounts or in unauthorized amounts</t>
  </si>
  <si>
    <t xml:space="preserve">PAY-C05</t>
  </si>
  <si>
    <t xml:space="preserve">Changes to employee direct deposit bank account information require independent verification before the next pay run; the final payroll funding file is reviewed and approved by a second individual before transmission to the bank</t>
  </si>
  <si>
    <t xml:space="preserve">Controller</t>
  </si>
  <si>
    <t xml:space="preserve">Funding file approval; bank change verification log</t>
  </si>
  <si>
    <t xml:space="preserve">Payroll System, Banking Portal</t>
  </si>
  <si>
    <t xml:space="preserve">Incentive Compensation</t>
  </si>
  <si>
    <t xml:space="preserve">Bonus &amp; Commission Calculations</t>
  </si>
  <si>
    <t xml:space="preserve">PAY-R06</t>
  </si>
  <si>
    <t xml:space="preserve">Bonus or commission payments are calculated incorrectly or paid without proper approval</t>
  </si>
  <si>
    <t xml:space="preserve">PAY-C06</t>
  </si>
  <si>
    <t xml:space="preserve">Bonus and commission calculations are independently recalculated and approved by Finance before inclusion in a payroll run</t>
  </si>
  <si>
    <t xml:space="preserve">Per Payout Cycle</t>
  </si>
  <si>
    <t xml:space="preserve">Recalculation workpaper; approval sign-off</t>
  </si>
  <si>
    <t xml:space="preserve">Compensation Management Tool, Payroll System</t>
  </si>
  <si>
    <t xml:space="preserve">Payroll Tax &amp; Compliance</t>
  </si>
  <si>
    <t xml:space="preserve">Payroll Tax Remittance</t>
  </si>
  <si>
    <t xml:space="preserve">PAY-R07</t>
  </si>
  <si>
    <t xml:space="preserve">Payroll tax withholdings are not remitted accurately or timely, resulting in penalties and misstated liabilities</t>
  </si>
  <si>
    <t xml:space="preserve">Completeness/Accuracy</t>
  </si>
  <si>
    <t xml:space="preserve">Monitoring Activities</t>
  </si>
  <si>
    <t xml:space="preserve">PAY-C07</t>
  </si>
  <si>
    <t xml:space="preserve">Payroll tax remittances are reconciled to the payroll register each cycle and to quarterly tax filings; discrepancies are researched and resolved before filing</t>
  </si>
  <si>
    <t xml:space="preserve">Per Pay Cycle / Quarterly</t>
  </si>
  <si>
    <t xml:space="preserve">Tax reconciliation workpaper; filing confirmation</t>
  </si>
  <si>
    <t xml:space="preserve">Payroll System, Tax Filing Service</t>
  </si>
  <si>
    <t xml:space="preserve">Payroll Close</t>
  </si>
  <si>
    <t xml:space="preserve">Payroll Expense &amp; Accrual Reconciliation</t>
  </si>
  <si>
    <t xml:space="preserve">PAY-R08</t>
  </si>
  <si>
    <t xml:space="preserve">Payroll expense and related accruals (e.g., accrued vacation, bonus accrual) recorded in the GL do not agree with the payroll subledger</t>
  </si>
  <si>
    <t xml:space="preserve">Accuracy/Completeness</t>
  </si>
  <si>
    <t xml:space="preserve">PAY-C08</t>
  </si>
  <si>
    <t xml:space="preserve">Payroll expense and accrual accounts are reconciled monthly between the payroll system and the general ledger; the reconciliation is reviewed and approved by the Controller</t>
  </si>
  <si>
    <t xml:space="preserve">Monthly</t>
  </si>
  <si>
    <t xml:space="preserve">Signed reconciliation with support</t>
  </si>
  <si>
    <t xml:space="preserve">Payroll System, GL</t>
  </si>
  <si>
    <t xml:space="preserve">Benefits Administration</t>
  </si>
  <si>
    <t xml:space="preserve">Benefit Deduction Accuracy</t>
  </si>
  <si>
    <t xml:space="preserve">PAY-R09</t>
  </si>
  <si>
    <t xml:space="preserve">Employee benefit deductions do not match enrollment elections, misstating payroll withholdings and benefit liabilities</t>
  </si>
  <si>
    <t xml:space="preserve">PAY-C09</t>
  </si>
  <si>
    <t xml:space="preserve">Benefit deduction files from the benefits administration system are reconciled to payroll deductions each open-enrollment cycle and upon qualifying life events</t>
  </si>
  <si>
    <t xml:space="preserve">Per Enrollment Event</t>
  </si>
  <si>
    <t xml:space="preserve">HR Benefits Manager</t>
  </si>
  <si>
    <t xml:space="preserve">N</t>
  </si>
  <si>
    <t xml:space="preserve">Deduction reconciliation workpaper</t>
  </si>
  <si>
    <t xml:space="preserve">Benefits Administration System, Payroll System</t>
  </si>
  <si>
    <t xml:space="preserve">Segregation of Duties</t>
  </si>
  <si>
    <t xml:space="preserve">Payroll Role Access</t>
  </si>
  <si>
    <t xml:space="preserve">PAY-R10</t>
  </si>
  <si>
    <t xml:space="preserve">A single individual can add an employee, set pay rate, and approve/release payroll, enabling concealment of fraud</t>
  </si>
  <si>
    <t xml:space="preserve">PAY-C10</t>
  </si>
  <si>
    <t xml:space="preserve">System role-based access enforces segregation between employee master maintenance, pay rate changes, payroll processing, and payroll approval/release; access is reviewed quarterly</t>
  </si>
  <si>
    <t xml:space="preserve">Quarterly</t>
  </si>
  <si>
    <t xml:space="preserve">IT Security Manager / Controller</t>
  </si>
  <si>
    <t xml:space="preserve">SoD access review report</t>
  </si>
  <si>
    <t xml:space="preserve">HRIS / Payroll Role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</si>
  <si>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</si>
  <si>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</si>
  <si>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</si>
  <si>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</si>
  <si>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</si>
  <si>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</si>
  <si>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</si>
  <si>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</si>
  <si>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</si>
  <si>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</si>
  <si>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</si>
  <si>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</si>
  <si>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</si>
  <si>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</si>
  <si>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Termination-to-payroll roster reconciliation</t>
  </si>
  <si>
    <t xml:space="preserve">Confirm terminated employees are removed from active payroll timely</t>
  </si>
  <si>
    <t xml:space="preserve">Re-perform the reconciliation of the HRIS termination report to the active payroll roster for a sample of 3 pay cycles; confirm no terminated employees were paid post-termination</t>
  </si>
  <si>
    <t xml:space="preserve">3 of 26 pay cycles</t>
  </si>
  <si>
    <t xml:space="preserve">Q2 2026</t>
  </si>
  <si>
    <t xml:space="preserve">R. Patel</t>
  </si>
  <si>
    <t xml:space="preserve">2026-07-14</t>
  </si>
  <si>
    <t xml:space="preserve">Effective</t>
  </si>
  <si>
    <t xml:space="preserve">2026-07-17</t>
  </si>
  <si>
    <t xml:space="preserve">Supervisor approval of hours worked</t>
  </si>
  <si>
    <t xml:space="preserve">Confirm timesheets/time clock data are approved by supervisors before payroll processing</t>
  </si>
  <si>
    <t xml:space="preserve">Select a sample of pay periods and employees; inspect for evidence of supervisor approval of hours worked, including overtime, before submission to Payroll</t>
  </si>
  <si>
    <t xml:space="preserve">Judgmental, 25 employee-periods</t>
  </si>
  <si>
    <t xml:space="preserve">2026-07-15</t>
  </si>
  <si>
    <t xml:space="preserve">2026-07-18</t>
  </si>
  <si>
    <t xml:space="preserve">Pre-payroll register review</t>
  </si>
  <si>
    <t xml:space="preserve">Confirm the payroll register is reviewed for reasonableness before release</t>
  </si>
  <si>
    <t xml:space="preserve">Select a sample of pay cycles; inspect evidence of Payroll Manager review of the pre-payroll register, including headcount and gross pay variance analysis</t>
  </si>
  <si>
    <t xml:space="preserve">Judgmental, 4 of 26 cycles</t>
  </si>
  <si>
    <t xml:space="preserve">J. Alvarez</t>
  </si>
  <si>
    <t xml:space="preserve">2026-07-16</t>
  </si>
  <si>
    <t xml:space="preserve">2026-07-19</t>
  </si>
  <si>
    <t xml:space="preserve">Funding file dual review before transmission</t>
  </si>
  <si>
    <t xml:space="preserve">Confirm the final payroll funding file is independently reviewed and approved before it is sent to the bank</t>
  </si>
  <si>
    <t xml:space="preserve">Select a sample of pay cycles; inspect evidence of independent review and approval of the funding file prior to bank transmission</t>
  </si>
  <si>
    <t xml:space="preserve">2026-07-20</t>
  </si>
  <si>
    <t xml:space="preserve">Payroll expense/accrual reconciliation</t>
  </si>
  <si>
    <t xml:space="preserve">Confirm payroll expense and accrual accounts reconcile between the payroll system and GL monthly</t>
  </si>
  <si>
    <t xml:space="preserve">Re-perform the monthly reconciliation for a sample of 3 months and agree the reconciling balance to zero or an explained variance</t>
  </si>
  <si>
    <t xml:space="preserve">3 of 12 months</t>
  </si>
  <si>
    <t xml:space="preserve">One month's vacation accrual reconciliation had an unresearched variance of $4,200, later determined to be a timing difference</t>
  </si>
  <si>
    <t xml:space="preserve">Effective with Exception</t>
  </si>
  <si>
    <t xml:space="preserve">2026-07-21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</si>
  <si>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</si>
  <si>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</si>
  <si>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</si>
  <si>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</si>
  <si>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</si>
  <si>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</si>
  <si>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</si>
  <si>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</si>
  <si>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</si>
  <si>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</si>
  <si>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</si>
  <si>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</si>
  <si>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</si>
  <si>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</si>
  <si>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</si>
  <si>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</si>
  <si>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</si>
  <si>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PAY-D01</t>
  </si>
  <si>
    <t xml:space="preserve">2026-06-30</t>
  </si>
  <si>
    <t xml:space="preserve">The May payroll accrual reconciliation showed an unresearched $4,200 variance between the payroll system and the GL that was not resolved until the following month</t>
  </si>
  <si>
    <t xml:space="preserve">The reconciliation preparer rolled forward the prior month's support without updating for a mid-month benefit rate change</t>
  </si>
  <si>
    <t xml:space="preserve">Control Deficiency</t>
  </si>
  <si>
    <t xml:space="preserve">Low - variance was a timing difference and immaterial</t>
  </si>
  <si>
    <t xml:space="preserve">Quarterly flux analysis of payroll expense by the Controller</t>
  </si>
  <si>
    <t xml:space="preserve">Update the reconciliation template to require re-pulling current-month benefit rates and add a second reviewer sign-off before close</t>
  </si>
  <si>
    <t xml:space="preserve">2026-08-15</t>
  </si>
  <si>
    <t xml:space="preserve">Remediated</t>
  </si>
  <si>
    <t xml:space="preserve">2026-08-20</t>
  </si>
  <si>
    <t xml:space="preserve">Effective - subsequent reconciliations completed without unresearched variances</t>
  </si>
  <si>
    <t xml:space="preserve">PAY-D02</t>
  </si>
  <si>
    <t xml:space="preserve">2026-04-01</t>
  </si>
  <si>
    <t xml:space="preserve">Quarterly access review identified one HR generalist with both employee master edit rights and payroll processing rights</t>
  </si>
  <si>
    <t xml:space="preserve">Role was granted broad access during a system migration and not scoped down afterward</t>
  </si>
  <si>
    <t xml:space="preserve">Significant Deficiency</t>
  </si>
  <si>
    <t xml:space="preserve">Moderate - conflicting access existed for one quarter; investigation found no unauthorized transactions</t>
  </si>
  <si>
    <t xml:space="preserve">Payroll Manager's manual review of the payroll register each cycle</t>
  </si>
  <si>
    <t xml:space="preserve">Redesign the HRIS role template to remove payroll processing rights from HR generalist roles and add a compensating monthly access log review until complete</t>
  </si>
  <si>
    <t xml:space="preserve">IT Security Manager</t>
  </si>
  <si>
    <t xml:space="preserve">2026-08-31</t>
  </si>
  <si>
    <t xml:space="preserve">In Progress</t>
  </si>
  <si>
    <t xml:space="preserve">2026-09-25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</si>
  <si>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</si>
  <si>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</si>
  <si>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</si>
  <si>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</si>
  <si>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</si>
  <si>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</si>
  <si>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</si>
  <si>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</si>
  <si>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</si>
  <si>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</si>
  <si>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</si>
  <si>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</si>
  <si>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</si>
  <si>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</si>
  <si>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</si>
  <si>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Payroll &amp; Human Capital</t>
  </si>
  <si>
    <t xml:space="preserve">Payroll Manager / Controller</t>
  </si>
  <si>
    <t xml:space="preserve">Ensure employees are paid accurately, timely, and only for authorized amounts, and that payroll expense and liabilities are properly recorded</t>
  </si>
  <si>
    <t xml:space="preserve">1) Employee onboarded/terminated in HRIS with approval; 2) Pay rate and deduction changes approved and system-updated; 3) Hours worked recorded and supervisor-approved; 4) Payroll calculated and pre-payroll register reviewed; 5) Payroll approved and funding file released to bank; 6) Payroll tax remitted and reconciled; 7) Payroll expense and accruals reconciled to the GL monthly</t>
  </si>
  <si>
    <t xml:space="preserve">HRIS, Time &amp; Attendance System, Payroll System, Banking Portal</t>
  </si>
  <si>
    <t xml:space="preserve">Employee data, timesheets, pay rate changes, benefit elections</t>
  </si>
  <si>
    <t xml:space="preserve">Payroll register, payroll journal entries, tax filings</t>
  </si>
  <si>
    <t xml:space="preserve">PAY-C01 through PAY-C08</t>
  </si>
  <si>
    <t xml:space="preserve">Ghost employees; unauthorized pay changes; misstated payroll expense/liabilities; tax penalties</t>
  </si>
  <si>
    <t xml:space="preserve">Employee master maintenance, pay rate changes, payroll processing, and payroll release are segregated across roles</t>
  </si>
  <si>
    <t xml:space="preserve">Payroll Policy; Delegation of Authority Matrix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</si>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</sst>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35.0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31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36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54</v>
      </c>
      <c r="L3" s="6" t="s">
        <v>42</v>
      </c>
      <c r="M3" s="6" t="s">
        <v>43</v>
      </c>
      <c r="N3" s="6" t="s">
        <v>55</v>
      </c>
      <c r="O3" s="6" t="s">
        <v>56</v>
      </c>
    </row>
    <row r="4" customFormat="false" ht="46.25" hidden="false" customHeight="fals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36</v>
      </c>
      <c r="G4" s="6" t="s">
        <v>62</v>
      </c>
      <c r="H4" s="6" t="s">
        <v>63</v>
      </c>
      <c r="I4" s="6" t="s">
        <v>64</v>
      </c>
      <c r="J4" s="6" t="s">
        <v>40</v>
      </c>
      <c r="K4" s="6" t="s">
        <v>41</v>
      </c>
      <c r="L4" s="6" t="s">
        <v>65</v>
      </c>
      <c r="M4" s="6" t="s">
        <v>43</v>
      </c>
      <c r="N4" s="6" t="s">
        <v>66</v>
      </c>
      <c r="O4" s="6" t="s">
        <v>67</v>
      </c>
    </row>
    <row r="5" customFormat="false" ht="46.25" hidden="false" customHeight="false" outlineLevel="0" collapsed="false">
      <c r="A5" s="6" t="s">
        <v>68</v>
      </c>
      <c r="B5" s="6" t="s">
        <v>69</v>
      </c>
      <c r="C5" s="6" t="s">
        <v>70</v>
      </c>
      <c r="D5" s="6" t="s">
        <v>71</v>
      </c>
      <c r="E5" s="6" t="s">
        <v>61</v>
      </c>
      <c r="F5" s="6" t="s">
        <v>36</v>
      </c>
      <c r="G5" s="6" t="s">
        <v>72</v>
      </c>
      <c r="H5" s="6" t="s">
        <v>73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74</v>
      </c>
      <c r="O5" s="6" t="s">
        <v>75</v>
      </c>
    </row>
    <row r="6" customFormat="false" ht="57.45" hidden="false" customHeight="false" outlineLevel="0" collapsed="false">
      <c r="A6" s="6" t="s">
        <v>76</v>
      </c>
      <c r="B6" s="6" t="s">
        <v>77</v>
      </c>
      <c r="C6" s="6" t="s">
        <v>78</v>
      </c>
      <c r="D6" s="6" t="s">
        <v>79</v>
      </c>
      <c r="E6" s="6" t="s">
        <v>35</v>
      </c>
      <c r="F6" s="6" t="s">
        <v>36</v>
      </c>
      <c r="G6" s="6" t="s">
        <v>80</v>
      </c>
      <c r="H6" s="6" t="s">
        <v>81</v>
      </c>
      <c r="I6" s="6" t="s">
        <v>64</v>
      </c>
      <c r="J6" s="6" t="s">
        <v>40</v>
      </c>
      <c r="K6" s="6" t="s">
        <v>41</v>
      </c>
      <c r="L6" s="6" t="s">
        <v>82</v>
      </c>
      <c r="M6" s="6" t="s">
        <v>43</v>
      </c>
      <c r="N6" s="6" t="s">
        <v>83</v>
      </c>
      <c r="O6" s="6" t="s">
        <v>84</v>
      </c>
    </row>
    <row r="7" customFormat="false" ht="35.05" hidden="false" customHeight="false" outlineLevel="0" collapsed="false">
      <c r="A7" s="6" t="s">
        <v>85</v>
      </c>
      <c r="B7" s="6" t="s">
        <v>86</v>
      </c>
      <c r="C7" s="6" t="s">
        <v>87</v>
      </c>
      <c r="D7" s="6" t="s">
        <v>88</v>
      </c>
      <c r="E7" s="6" t="s">
        <v>49</v>
      </c>
      <c r="F7" s="6" t="s">
        <v>36</v>
      </c>
      <c r="G7" s="6" t="s">
        <v>89</v>
      </c>
      <c r="H7" s="6" t="s">
        <v>90</v>
      </c>
      <c r="I7" s="6" t="s">
        <v>39</v>
      </c>
      <c r="J7" s="6" t="s">
        <v>40</v>
      </c>
      <c r="K7" s="6" t="s">
        <v>91</v>
      </c>
      <c r="L7" s="6" t="s">
        <v>82</v>
      </c>
      <c r="M7" s="6" t="s">
        <v>43</v>
      </c>
      <c r="N7" s="6" t="s">
        <v>92</v>
      </c>
      <c r="O7" s="6" t="s">
        <v>93</v>
      </c>
    </row>
    <row r="8" customFormat="false" ht="46.25" hidden="false" customHeight="false" outlineLevel="0" collapsed="false">
      <c r="A8" s="6" t="s">
        <v>94</v>
      </c>
      <c r="B8" s="6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6" t="s">
        <v>100</v>
      </c>
      <c r="H8" s="6" t="s">
        <v>101</v>
      </c>
      <c r="I8" s="6" t="s">
        <v>39</v>
      </c>
      <c r="J8" s="6" t="s">
        <v>40</v>
      </c>
      <c r="K8" s="6" t="s">
        <v>102</v>
      </c>
      <c r="L8" s="6" t="s">
        <v>42</v>
      </c>
      <c r="M8" s="6" t="s">
        <v>43</v>
      </c>
      <c r="N8" s="6" t="s">
        <v>103</v>
      </c>
      <c r="O8" s="6" t="s">
        <v>104</v>
      </c>
    </row>
    <row r="9" customFormat="false" ht="46.25" hidden="false" customHeight="false" outlineLevel="0" collapsed="false">
      <c r="A9" s="6" t="s">
        <v>105</v>
      </c>
      <c r="B9" s="6" t="s">
        <v>106</v>
      </c>
      <c r="C9" s="6" t="s">
        <v>107</v>
      </c>
      <c r="D9" s="6" t="s">
        <v>108</v>
      </c>
      <c r="E9" s="6" t="s">
        <v>109</v>
      </c>
      <c r="F9" s="6" t="s">
        <v>99</v>
      </c>
      <c r="G9" s="6" t="s">
        <v>110</v>
      </c>
      <c r="H9" s="6" t="s">
        <v>111</v>
      </c>
      <c r="I9" s="6" t="s">
        <v>39</v>
      </c>
      <c r="J9" s="6" t="s">
        <v>40</v>
      </c>
      <c r="K9" s="6" t="s">
        <v>112</v>
      </c>
      <c r="L9" s="6" t="s">
        <v>82</v>
      </c>
      <c r="M9" s="6" t="s">
        <v>43</v>
      </c>
      <c r="N9" s="6" t="s">
        <v>113</v>
      </c>
      <c r="O9" s="6" t="s">
        <v>114</v>
      </c>
    </row>
    <row r="10" customFormat="false" ht="46.25" hidden="false" customHeight="false" outlineLevel="0" collapsed="false">
      <c r="A10" s="6" t="s">
        <v>115</v>
      </c>
      <c r="B10" s="6" t="s">
        <v>116</v>
      </c>
      <c r="C10" s="6" t="s">
        <v>117</v>
      </c>
      <c r="D10" s="6" t="s">
        <v>118</v>
      </c>
      <c r="E10" s="6" t="s">
        <v>61</v>
      </c>
      <c r="F10" s="6" t="s">
        <v>36</v>
      </c>
      <c r="G10" s="6" t="s">
        <v>119</v>
      </c>
      <c r="H10" s="6" t="s">
        <v>120</v>
      </c>
      <c r="I10" s="6" t="s">
        <v>39</v>
      </c>
      <c r="J10" s="6" t="s">
        <v>40</v>
      </c>
      <c r="K10" s="6" t="s">
        <v>121</v>
      </c>
      <c r="L10" s="6" t="s">
        <v>122</v>
      </c>
      <c r="M10" s="6" t="s">
        <v>123</v>
      </c>
      <c r="N10" s="6" t="s">
        <v>124</v>
      </c>
      <c r="O10" s="6" t="s">
        <v>125</v>
      </c>
    </row>
    <row r="11" customFormat="false" ht="46.25" hidden="false" customHeight="false" outlineLevel="0" collapsed="false">
      <c r="A11" s="6" t="s">
        <v>126</v>
      </c>
      <c r="B11" s="6" t="s">
        <v>127</v>
      </c>
      <c r="C11" s="6" t="s">
        <v>128</v>
      </c>
      <c r="D11" s="6" t="s">
        <v>129</v>
      </c>
      <c r="E11" s="6" t="s">
        <v>35</v>
      </c>
      <c r="F11" s="6" t="s">
        <v>36</v>
      </c>
      <c r="G11" s="6" t="s">
        <v>130</v>
      </c>
      <c r="H11" s="6" t="s">
        <v>131</v>
      </c>
      <c r="I11" s="6" t="s">
        <v>64</v>
      </c>
      <c r="J11" s="6" t="s">
        <v>53</v>
      </c>
      <c r="K11" s="6" t="s">
        <v>132</v>
      </c>
      <c r="L11" s="6" t="s">
        <v>133</v>
      </c>
      <c r="M11" s="6" t="s">
        <v>43</v>
      </c>
      <c r="N11" s="6" t="s">
        <v>134</v>
      </c>
      <c r="O11" s="6" t="s">
        <v>135</v>
      </c>
    </row>
    <row r="13" customFormat="false" ht="15" hidden="false" customHeight="false" outlineLevel="0" collapsed="false">
      <c r="A13" s="7" t="s">
        <v>136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137</v>
      </c>
      <c r="B14" s="7" t="n">
        <f aca="false">COUNTIF(M2:M11,"Y")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145</v>
      </c>
      <c r="K1" s="5" t="s">
        <v>146</v>
      </c>
      <c r="L1" s="5" t="s">
        <v>147</v>
      </c>
      <c r="M1" s="5" t="s">
        <v>148</v>
      </c>
      <c r="N1" s="5" t="s">
        <v>149</v>
      </c>
    </row>
    <row r="2" customFormat="false" ht="57.45" hidden="false" customHeight="false" outlineLevel="0" collapsed="false">
      <c r="A2" s="6" t="s">
        <v>37</v>
      </c>
      <c r="B2" s="6" t="s">
        <v>150</v>
      </c>
      <c r="C2" s="6" t="s">
        <v>151</v>
      </c>
      <c r="D2" s="6" t="s">
        <v>152</v>
      </c>
      <c r="E2" s="6" t="s">
        <v>153</v>
      </c>
      <c r="F2" s="6" t="s">
        <v>154</v>
      </c>
      <c r="G2" s="6" t="s">
        <v>155</v>
      </c>
      <c r="H2" s="6" t="s">
        <v>156</v>
      </c>
      <c r="I2" s="6" t="n">
        <v>3</v>
      </c>
      <c r="J2" s="6" t="n">
        <v>0</v>
      </c>
      <c r="K2" s="6"/>
      <c r="L2" s="6" t="s">
        <v>157</v>
      </c>
      <c r="M2" s="6" t="s">
        <v>42</v>
      </c>
      <c r="N2" s="6" t="s">
        <v>158</v>
      </c>
    </row>
    <row r="3" customFormat="false" ht="57.45" hidden="false" customHeight="false" outlineLevel="0" collapsed="false">
      <c r="A3" s="6" t="s">
        <v>62</v>
      </c>
      <c r="B3" s="6" t="s">
        <v>159</v>
      </c>
      <c r="C3" s="6" t="s">
        <v>160</v>
      </c>
      <c r="D3" s="6" t="s">
        <v>161</v>
      </c>
      <c r="E3" s="6" t="s">
        <v>162</v>
      </c>
      <c r="F3" s="6" t="s">
        <v>154</v>
      </c>
      <c r="G3" s="6" t="s">
        <v>155</v>
      </c>
      <c r="H3" s="6" t="s">
        <v>163</v>
      </c>
      <c r="I3" s="6" t="n">
        <v>25</v>
      </c>
      <c r="J3" s="6" t="n">
        <v>0</v>
      </c>
      <c r="K3" s="6"/>
      <c r="L3" s="6" t="s">
        <v>157</v>
      </c>
      <c r="M3" s="6" t="s">
        <v>42</v>
      </c>
      <c r="N3" s="6" t="s">
        <v>164</v>
      </c>
    </row>
    <row r="4" customFormat="false" ht="46.25" hidden="false" customHeight="false" outlineLevel="0" collapsed="false">
      <c r="A4" s="6" t="s">
        <v>72</v>
      </c>
      <c r="B4" s="6" t="s">
        <v>165</v>
      </c>
      <c r="C4" s="6" t="s">
        <v>166</v>
      </c>
      <c r="D4" s="6" t="s">
        <v>167</v>
      </c>
      <c r="E4" s="6" t="s">
        <v>168</v>
      </c>
      <c r="F4" s="6" t="s">
        <v>154</v>
      </c>
      <c r="G4" s="6" t="s">
        <v>169</v>
      </c>
      <c r="H4" s="6" t="s">
        <v>170</v>
      </c>
      <c r="I4" s="6" t="n">
        <v>4</v>
      </c>
      <c r="J4" s="6" t="n">
        <v>0</v>
      </c>
      <c r="K4" s="6"/>
      <c r="L4" s="6" t="s">
        <v>157</v>
      </c>
      <c r="M4" s="6" t="s">
        <v>42</v>
      </c>
      <c r="N4" s="6" t="s">
        <v>171</v>
      </c>
    </row>
    <row r="5" customFormat="false" ht="46.25" hidden="false" customHeight="false" outlineLevel="0" collapsed="false">
      <c r="A5" s="6" t="s">
        <v>80</v>
      </c>
      <c r="B5" s="6" t="s">
        <v>172</v>
      </c>
      <c r="C5" s="6" t="s">
        <v>173</v>
      </c>
      <c r="D5" s="6" t="s">
        <v>174</v>
      </c>
      <c r="E5" s="6" t="s">
        <v>168</v>
      </c>
      <c r="F5" s="6" t="s">
        <v>154</v>
      </c>
      <c r="G5" s="6" t="s">
        <v>169</v>
      </c>
      <c r="H5" s="6" t="s">
        <v>158</v>
      </c>
      <c r="I5" s="6" t="n">
        <v>4</v>
      </c>
      <c r="J5" s="6" t="n">
        <v>0</v>
      </c>
      <c r="K5" s="6"/>
      <c r="L5" s="6" t="s">
        <v>157</v>
      </c>
      <c r="M5" s="6" t="s">
        <v>82</v>
      </c>
      <c r="N5" s="6" t="s">
        <v>175</v>
      </c>
    </row>
    <row r="6" customFormat="false" ht="57.45" hidden="false" customHeight="false" outlineLevel="0" collapsed="false">
      <c r="A6" s="6" t="s">
        <v>110</v>
      </c>
      <c r="B6" s="6" t="s">
        <v>176</v>
      </c>
      <c r="C6" s="6" t="s">
        <v>177</v>
      </c>
      <c r="D6" s="6" t="s">
        <v>178</v>
      </c>
      <c r="E6" s="6" t="s">
        <v>179</v>
      </c>
      <c r="F6" s="6" t="s">
        <v>154</v>
      </c>
      <c r="G6" s="6" t="s">
        <v>169</v>
      </c>
      <c r="H6" s="6" t="s">
        <v>164</v>
      </c>
      <c r="I6" s="6" t="n">
        <v>3</v>
      </c>
      <c r="J6" s="6" t="n">
        <v>1</v>
      </c>
      <c r="K6" s="6" t="s">
        <v>180</v>
      </c>
      <c r="L6" s="6" t="s">
        <v>181</v>
      </c>
      <c r="M6" s="6" t="s">
        <v>82</v>
      </c>
      <c r="N6" s="6" t="s">
        <v>182</v>
      </c>
    </row>
    <row r="8" customFormat="false" ht="15" hidden="false" customHeight="false" outlineLevel="0" collapsed="false">
      <c r="A8" s="7" t="s">
        <v>183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184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185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186</v>
      </c>
      <c r="B1" s="5" t="s">
        <v>187</v>
      </c>
      <c r="C1" s="5" t="s">
        <v>188</v>
      </c>
      <c r="D1" s="5" t="s">
        <v>189</v>
      </c>
      <c r="E1" s="5" t="s">
        <v>190</v>
      </c>
      <c r="F1" s="5" t="s">
        <v>191</v>
      </c>
      <c r="G1" s="5" t="s">
        <v>192</v>
      </c>
      <c r="H1" s="5" t="s">
        <v>193</v>
      </c>
      <c r="I1" s="5" t="s">
        <v>194</v>
      </c>
      <c r="J1" s="5" t="s">
        <v>195</v>
      </c>
      <c r="K1" s="5" t="s">
        <v>196</v>
      </c>
      <c r="L1" s="5" t="s">
        <v>197</v>
      </c>
      <c r="M1" s="5" t="s">
        <v>198</v>
      </c>
      <c r="N1" s="5" t="s">
        <v>199</v>
      </c>
    </row>
    <row r="2" customFormat="false" ht="68.65" hidden="false" customHeight="false" outlineLevel="0" collapsed="false">
      <c r="A2" s="6" t="s">
        <v>200</v>
      </c>
      <c r="B2" s="6" t="s">
        <v>110</v>
      </c>
      <c r="C2" s="6" t="s">
        <v>201</v>
      </c>
      <c r="D2" s="6" t="s">
        <v>202</v>
      </c>
      <c r="E2" s="6" t="s">
        <v>203</v>
      </c>
      <c r="F2" s="6" t="s">
        <v>204</v>
      </c>
      <c r="G2" s="6" t="s">
        <v>205</v>
      </c>
      <c r="H2" s="6" t="s">
        <v>206</v>
      </c>
      <c r="I2" s="6" t="s">
        <v>207</v>
      </c>
      <c r="J2" s="6" t="s">
        <v>82</v>
      </c>
      <c r="K2" s="6" t="s">
        <v>208</v>
      </c>
      <c r="L2" s="6" t="s">
        <v>209</v>
      </c>
      <c r="M2" s="6" t="s">
        <v>210</v>
      </c>
      <c r="N2" s="6" t="s">
        <v>211</v>
      </c>
    </row>
    <row r="3" customFormat="false" ht="57.45" hidden="false" customHeight="false" outlineLevel="0" collapsed="false">
      <c r="A3" s="6" t="s">
        <v>212</v>
      </c>
      <c r="B3" s="6" t="s">
        <v>130</v>
      </c>
      <c r="C3" s="6" t="s">
        <v>213</v>
      </c>
      <c r="D3" s="6" t="s">
        <v>214</v>
      </c>
      <c r="E3" s="6" t="s">
        <v>215</v>
      </c>
      <c r="F3" s="6" t="s">
        <v>216</v>
      </c>
      <c r="G3" s="6" t="s">
        <v>217</v>
      </c>
      <c r="H3" s="6" t="s">
        <v>218</v>
      </c>
      <c r="I3" s="6" t="s">
        <v>219</v>
      </c>
      <c r="J3" s="6" t="s">
        <v>220</v>
      </c>
      <c r="K3" s="6" t="s">
        <v>221</v>
      </c>
      <c r="L3" s="6" t="s">
        <v>222</v>
      </c>
      <c r="M3" s="6" t="s">
        <v>223</v>
      </c>
      <c r="N3" s="6"/>
    </row>
    <row r="5" customFormat="false" ht="15" hidden="false" customHeight="false" outlineLevel="0" collapsed="false">
      <c r="A5" s="7" t="s">
        <v>224</v>
      </c>
      <c r="B5" s="7" t="n">
        <f aca="false">COUNTIF(L2:L3,"Open")+COUNTIF(L2:L3,"In Progress")</f>
        <v>1</v>
      </c>
    </row>
    <row r="6" customFormat="false" ht="15" hidden="false" customHeight="false" outlineLevel="0" collapsed="false">
      <c r="A6" s="7" t="s">
        <v>225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226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</row>
    <row r="2" customFormat="false" ht="91" hidden="false" customHeight="false" outlineLevel="0" collapsed="false">
      <c r="A2" s="6" t="s">
        <v>239</v>
      </c>
      <c r="B2" s="6" t="s">
        <v>240</v>
      </c>
      <c r="C2" s="6" t="s">
        <v>241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247</v>
      </c>
      <c r="J2" s="6" t="s">
        <v>248</v>
      </c>
      <c r="K2" s="6" t="s">
        <v>249</v>
      </c>
      <c r="L2" s="6" t="s">
        <v>250</v>
      </c>
      <c r="M2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