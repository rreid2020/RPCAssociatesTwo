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tables/table4.xml" ContentType="application/vnd.openxmlformats-officedocument.spreadsheetml.tab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structions" sheetId="1" state="visible" r:id="rId3"/>
    <sheet name="Risk &amp; Control Matrix" sheetId="2" state="visible" r:id="rId4"/>
    <sheet name="Control Testing Tracker" sheetId="3" state="visible" r:id="rId5"/>
    <sheet name="Deficiency &amp; Remediation Log" sheetId="4" state="visible" r:id="rId6"/>
    <sheet name="Process Narratives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<sst xmlns="http://schemas.openxmlformats.org/spreadsheetml/2006/main" count="324" uniqueCount="243">
  <si>
    <t xml:space="preserve">ICFM / ICFR Template — Procure-to-Pay (Purchasing &amp; Accounts Payable)</t>
  </si>
  <si>
    <t xml:space="preserve">Internal Controls over Financial Management &amp; Reporting</t>
  </si>
  <si>
    <t xml:space="preserve">How to use this workbook</t>
  </si>
  <si>
    <t xml:space="preserve">This workbook is a starting-point framework for documenting and testing internal controls over financial reporting (ICFR), consistent with the COSO 2013 Internal Control – Integrated Framework and the approach commonly used for SOX Section 404 compliance. It is a template, not legal, audit, or compliance advice — adapt every field to your organization's actual processes, systems, and risk profile before relying on it.</t>
  </si>
  <si>
    <t xml:space="preserve">Tabs in this workbook:</t>
  </si>
  <si>
    <t xml:space="preserve">1. Risk &amp; Control Matrix (RCM) — maps key financial statement risks to the controls that address them, including control owner, type, nature, and frequency.</t>
  </si>
  <si>
    <t xml:space="preserve">2. Control Testing Tracker — documents walkthroughs and operating-effectiveness testing performed for each key control, sample sizes, and conclusions.</t>
  </si>
  <si>
    <t xml:space="preserve">3. Deficiency &amp; Remediation Log — logs control gaps identified through testing, rates severity, and tracks remediation to closure.</t>
  </si>
  <si>
    <t xml:space="preserve">4. Process Narratives — a structured, one-row-per-process write-up of how each in-scope financial process actually operates end to end.</t>
  </si>
  <si>
    <t xml:space="preserve">Color key:</t>
  </si>
  <si>
    <t xml:space="preserve">Yellow-shaded rows are illustrative examples for this industry — replace or extend them with your own facts. Blank rows below each example are ready for your data.</t>
  </si>
  <si>
    <t xml:space="preserve">Example rows below are illustrative starting points based on common risks and leading-practice controls for this process. They are not exhaustive and are not a substitute for a formal risk assessment of your organization's actual systems, materiality, and fraud risk.</t>
  </si>
  <si>
    <t xml:space="preserve">Suggested severity definitions (COSO / AS 2201):</t>
  </si>
  <si>
    <t xml:space="preserve">• Control Deficiency — a control is designed or operating in a way that does not allow management/employees to prevent or detect misstatements on a timely basis.</t>
  </si>
  <si>
    <t xml:space="preserve">• Significant Deficiency — a deficiency, or combination of deficiencies, less severe than a material weakness, yet important enough to merit attention by those responsible for oversight of financial reporting.</t>
  </si>
  <si>
    <t xml:space="preserve">• Material Weakness — a deficiency, or combination of deficiencies, such that there is a reasonable possibility that a material misstatement of the financial statements will not be prevented or detected on a timely basis.</t>
  </si>
  <si>
    <t xml:space="preserve">Process</t>
  </si>
  <si>
    <t xml:space="preserve">Sub-Process</t>
  </si>
  <si>
    <t xml:space="preserve">Risk ID</t>
  </si>
  <si>
    <t xml:space="preserve">Risk Description</t>
  </si>
  <si>
    <t xml:space="preserve">Financial Statement Assertion(s)</t>
  </si>
  <si>
    <t xml:space="preserve">COSO Component</t>
  </si>
  <si>
    <t xml:space="preserve">Control ID</t>
  </si>
  <si>
    <t xml:space="preserve">Control Description</t>
  </si>
  <si>
    <t xml:space="preserve">Control Type
(Preventive/Detective)</t>
  </si>
  <si>
    <t xml:space="preserve">Control Nature
(Manual/Automated/IT-Dependent)</t>
  </si>
  <si>
    <t xml:space="preserve">Frequency</t>
  </si>
  <si>
    <t xml:space="preserve">Control Owner</t>
  </si>
  <si>
    <t xml:space="preserve">Key Control
(Y/N)</t>
  </si>
  <si>
    <t xml:space="preserve">Evidence / Documentation</t>
  </si>
  <si>
    <t xml:space="preserve">Systems / Applications</t>
  </si>
  <si>
    <t xml:space="preserve">Requisitioning &amp; Purchasing</t>
  </si>
  <si>
    <t xml:space="preserve">Purchase Requisition Approval</t>
  </si>
  <si>
    <t xml:space="preserve">P2P-R01</t>
  </si>
  <si>
    <t xml:space="preserve">Purchases are made without proper authorization or outside budget</t>
  </si>
  <si>
    <t xml:space="preserve">Existence/Occurrence</t>
  </si>
  <si>
    <t xml:space="preserve">Control Activities</t>
  </si>
  <si>
    <t xml:space="preserve">P2P-C01</t>
  </si>
  <si>
    <t xml:space="preserve">Purchase requisitions above departmental thresholds require manager approval before a purchase order is issued</t>
  </si>
  <si>
    <t xml:space="preserve">Preventive</t>
  </si>
  <si>
    <t xml:space="preserve">Automated</t>
  </si>
  <si>
    <t xml:space="preserve">Per Transaction</t>
  </si>
  <si>
    <t xml:space="preserve">Procurement Manager</t>
  </si>
  <si>
    <t xml:space="preserve">Y</t>
  </si>
  <si>
    <t xml:space="preserve">Approval workflow log</t>
  </si>
  <si>
    <t xml:space="preserve">ERP / Procurement Module</t>
  </si>
  <si>
    <t xml:space="preserve">Purchase Order Issuance</t>
  </si>
  <si>
    <t xml:space="preserve">P2P-R02</t>
  </si>
  <si>
    <t xml:space="preserve">Purchase orders are issued to unauthorized or unapproved vendors, or are split to circumvent approval limits</t>
  </si>
  <si>
    <t xml:space="preserve">P2P-C02</t>
  </si>
  <si>
    <t xml:space="preserve">Purchase orders above the approval threshold require two-level electronic approval before release to the vendor; the system flags potential order-splitting across POs to the same vendor within a short window</t>
  </si>
  <si>
    <t xml:space="preserve">Preventive/Detective</t>
  </si>
  <si>
    <t xml:space="preserve">Approval workflow log; order-splitting exception report</t>
  </si>
  <si>
    <t xml:space="preserve">Vendor Master</t>
  </si>
  <si>
    <t xml:space="preserve">Vendor Set-Up &amp; Maintenance</t>
  </si>
  <si>
    <t xml:space="preserve">P2P-R03</t>
  </si>
  <si>
    <t xml:space="preserve">Fictitious or duplicate vendors are created, or vendor banking details are changed fraudulently, enabling fraudulent disbursements</t>
  </si>
  <si>
    <t xml:space="preserve">P2P-C03</t>
  </si>
  <si>
    <t xml:space="preserve">New vendor additions and changes to vendor banking information require independent verification (e.g., outbound call to a known contact) and approval by the AP Manager, segregated from the preparer</t>
  </si>
  <si>
    <t xml:space="preserve">Manual</t>
  </si>
  <si>
    <t xml:space="preserve">AP Manager</t>
  </si>
  <si>
    <t xml:space="preserve">Vendor change approval form; verification call log</t>
  </si>
  <si>
    <t xml:space="preserve">ERP Vendor Master</t>
  </si>
  <si>
    <t xml:space="preserve">Receiving</t>
  </si>
  <si>
    <t xml:space="preserve">Goods/Services Receipt</t>
  </si>
  <si>
    <t xml:space="preserve">P2P-R04</t>
  </si>
  <si>
    <t xml:space="preserve">Goods or services are recorded as received when they were not, or receipts are not recorded timely, misstating inventory/expense and accruals</t>
  </si>
  <si>
    <t xml:space="preserve">Existence/Completeness</t>
  </si>
  <si>
    <t xml:space="preserve">P2P-C04</t>
  </si>
  <si>
    <t xml:space="preserve">Receiving personnel, independent of purchasing and AP, confirm quantity and condition of goods against the PO before recording receipt in the system</t>
  </si>
  <si>
    <t xml:space="preserve">Warehouse/Receiving Manager</t>
  </si>
  <si>
    <t xml:space="preserve">Receiving report</t>
  </si>
  <si>
    <t xml:space="preserve">ERP / Warehouse Management System</t>
  </si>
  <si>
    <t xml:space="preserve">Invoice Processing</t>
  </si>
  <si>
    <t xml:space="preserve">Three-Way Match</t>
  </si>
  <si>
    <t xml:space="preserve">P2P-R05</t>
  </si>
  <si>
    <t xml:space="preserve">Vendor invoices are paid that do not agree with the purchase order and receiving report (price, quantity, or terms)</t>
  </si>
  <si>
    <t xml:space="preserve">Accuracy/Existence</t>
  </si>
  <si>
    <t xml:space="preserve">P2P-C05</t>
  </si>
  <si>
    <t xml:space="preserve">The system performs a three-way match of the vendor invoice to the purchase order and receiving report before releasing the invoice for payment; mismatches are routed for manual resolution</t>
  </si>
  <si>
    <t xml:space="preserve">Three-way match exception report</t>
  </si>
  <si>
    <t xml:space="preserve">ERP / AP Automation Tool</t>
  </si>
  <si>
    <t xml:space="preserve">Duplicate Payment Prevention</t>
  </si>
  <si>
    <t xml:space="preserve">P2P-R06</t>
  </si>
  <si>
    <t xml:space="preserve">The same invoice is paid more than once</t>
  </si>
  <si>
    <t xml:space="preserve">P2P-C06</t>
  </si>
  <si>
    <t xml:space="preserve">The system blocks entry of an invoice with a duplicate vendor/invoice number/amount combination; AP periodically runs a duplicate-payment analysis across the vendor file</t>
  </si>
  <si>
    <t xml:space="preserve">Per Transaction / Monthly</t>
  </si>
  <si>
    <t xml:space="preserve">System duplicate block log; duplicate payment analysis</t>
  </si>
  <si>
    <t xml:space="preserve">Payment Disbursement</t>
  </si>
  <si>
    <t xml:space="preserve">Payment Approval &amp; Release</t>
  </si>
  <si>
    <t xml:space="preserve">P2P-R07</t>
  </si>
  <si>
    <t xml:space="preserve">Payments are disbursed without proper authorization or to unauthorized payees</t>
  </si>
  <si>
    <t xml:space="preserve">P2P-C07</t>
  </si>
  <si>
    <t xml:space="preserve">Payment batches (check runs, ACH, wires) above threshold require dual approval before release; the payment approver is independent of invoice entry and vendor master maintenance</t>
  </si>
  <si>
    <t xml:space="preserve">Per Payment Run</t>
  </si>
  <si>
    <t xml:space="preserve">Treasury Manager / Controller</t>
  </si>
  <si>
    <t xml:space="preserve">Payment batch approval log</t>
  </si>
  <si>
    <t xml:space="preserve">ERP / Banking Payment Portal</t>
  </si>
  <si>
    <t xml:space="preserve">Period-End Accruals</t>
  </si>
  <si>
    <t xml:space="preserve">Unbilled / Unmatched Receipts Accrual</t>
  </si>
  <si>
    <t xml:space="preserve">P2P-R08</t>
  </si>
  <si>
    <t xml:space="preserve">Goods or services received but not yet invoiced are not accrued, understating period-end liabilities and expense</t>
  </si>
  <si>
    <t xml:space="preserve">Completeness</t>
  </si>
  <si>
    <t xml:space="preserve">P2P-C08</t>
  </si>
  <si>
    <t xml:space="preserve">AP reviews open purchase orders with receipts but no matched invoice at period-end and books an accrual for goods/services received but not billed</t>
  </si>
  <si>
    <t xml:space="preserve">Detective</t>
  </si>
  <si>
    <t xml:space="preserve">Monthly</t>
  </si>
  <si>
    <t xml:space="preserve">Controller</t>
  </si>
  <si>
    <t xml:space="preserve">Accrual workpaper; open PO/receipt listing</t>
  </si>
  <si>
    <t xml:space="preserve">ERP General Ledger</t>
  </si>
  <si>
    <t xml:space="preserve">Expense Reimbursement</t>
  </si>
  <si>
    <t xml:space="preserve">Employee Expense Reports</t>
  </si>
  <si>
    <t xml:space="preserve">P2P-R09</t>
  </si>
  <si>
    <t xml:space="preserve">Employee expense reimbursements are processed without adequate support or exceed policy limits</t>
  </si>
  <si>
    <t xml:space="preserve">Existence/Accuracy</t>
  </si>
  <si>
    <t xml:space="preserve">P2P-C09</t>
  </si>
  <si>
    <t xml:space="preserve">Expense reports require itemized receipts and manager approval before reimbursement; the system flags entries exceeding per-diem or category policy limits for review</t>
  </si>
  <si>
    <t xml:space="preserve">IT-Dependent Manual</t>
  </si>
  <si>
    <t xml:space="preserve">N</t>
  </si>
  <si>
    <t xml:space="preserve">Approved expense report; policy exception report</t>
  </si>
  <si>
    <t xml:space="preserve">Expense Management System</t>
  </si>
  <si>
    <t xml:space="preserve">Segregation of Duties</t>
  </si>
  <si>
    <t xml:space="preserve">Procure-to-Pay Role Access</t>
  </si>
  <si>
    <t xml:space="preserve">P2P-R10</t>
  </si>
  <si>
    <t xml:space="preserve">A single individual can create a vendor, approve a purchase, and release payment, enabling concealment of fraud</t>
  </si>
  <si>
    <t xml:space="preserve">P2P-C10</t>
  </si>
  <si>
    <t xml:space="preserve">ERP role-based access enforces segregation between vendor master maintenance, purchasing/approval, invoice entry, and payment release; access is reviewed quarterly</t>
  </si>
  <si>
    <t xml:space="preserve">Quarterly</t>
  </si>
  <si>
    <t xml:space="preserve">IT Security Manager / Controller</t>
  </si>
  <si>
    <t xml:space="preserve">SoD access review report</t>
  </si>
  <si>
    <t xml:space="preserve">ERP Role/Access Configuration</t>
  </si>
  <si>
    <t xml:space="preserve">Total Controls Documented:</t>
  </si>
  <si>
    <t xml:space="preserve">Key Controls (Y):</t>
  </si>
  <si>
    <t xml:space="preserve">Test Objective</t>
  </si>
  <si>
    <t xml:space="preserve">Test Procedure</t>
  </si>
  <si>
    <t xml:space="preserve">Sample Size / Methodology</t>
  </si>
  <si>
    <t xml:space="preserve">Testing Period</t>
  </si>
  <si>
    <t xml:space="preserve">Tester</t>
  </si>
  <si>
    <t xml:space="preserve">Test Date</t>
  </si>
  <si>
    <t xml:space="preserve"># Sampled</t>
  </si>
  <si>
    <t xml:space="preserve"># Exceptions</t>
  </si>
  <si>
    <t xml:space="preserve">Exception Description</t>
  </si>
  <si>
    <t xml:space="preserve">Conclusion</t>
  </si>
  <si>
    <t xml:space="preserve">Reviewer</t>
  </si>
  <si>
    <t xml:space="preserve">Review Date</t>
  </si>
  <si>
    <t xml:space="preserve">Two-level PO approval workflow</t>
  </si>
  <si>
    <t xml:space="preserve">Confirm purchase orders above threshold are approved by two authorized approvers before release</t>
  </si>
  <si>
    <t xml:space="preserve">Select a sample of POs above the approval threshold; inspect the system workflow log for evidence of two-level approval prior to vendor release</t>
  </si>
  <si>
    <t xml:space="preserve">Judgmental, 20 POs</t>
  </si>
  <si>
    <t xml:space="preserve">Q2 2026</t>
  </si>
  <si>
    <t xml:space="preserve">J. Alvarez</t>
  </si>
  <si>
    <t xml:space="preserve">2026-07-16</t>
  </si>
  <si>
    <t xml:space="preserve">One PO released prior to second-level approval due to a workflow delegation error</t>
  </si>
  <si>
    <t xml:space="preserve">Effective with Exception</t>
  </si>
  <si>
    <t xml:space="preserve">2026-07-19</t>
  </si>
  <si>
    <t xml:space="preserve">Vendor master change verification</t>
  </si>
  <si>
    <t xml:space="preserve">Confirm new vendors and banking changes are independently verified and approved</t>
  </si>
  <si>
    <t xml:space="preserve">Select a sample of new vendors and banking-detail changes made in the period; inspect for evidence of independent verification (callback) and AP Manager approval segregated from the preparer</t>
  </si>
  <si>
    <t xml:space="preserve">Judgmental, 15 changes</t>
  </si>
  <si>
    <t xml:space="preserve">R. Patel</t>
  </si>
  <si>
    <t xml:space="preserve">2026-07-17</t>
  </si>
  <si>
    <t xml:space="preserve">Effective</t>
  </si>
  <si>
    <t xml:space="preserve">2026-07-20</t>
  </si>
  <si>
    <t xml:space="preserve">Three-way match before payment</t>
  </si>
  <si>
    <t xml:space="preserve">Confirm invoices are matched to PO and receiving report before payment release</t>
  </si>
  <si>
    <t xml:space="preserve">Select a sample of paid invoices; recompute the three-way match and inspect resolution documentation for any flagged mismatches</t>
  </si>
  <si>
    <t xml:space="preserve">Statistical, 30 invoices</t>
  </si>
  <si>
    <t xml:space="preserve">2026-07-18</t>
  </si>
  <si>
    <t xml:space="preserve">2026-07-21</t>
  </si>
  <si>
    <t xml:space="preserve">Dual approval of payment batches</t>
  </si>
  <si>
    <t xml:space="preserve">Confirm payment runs above threshold receive dual, independent approval before release</t>
  </si>
  <si>
    <t xml:space="preserve">Select a sample of payment batches; inspect for evidence of dual approval and confirm approvers are independent of invoice entry and vendor maintenance roles</t>
  </si>
  <si>
    <t xml:space="preserve">Judgmental, 10 payment runs</t>
  </si>
  <si>
    <t xml:space="preserve">2026-07-22</t>
  </si>
  <si>
    <t xml:space="preserve">Period-end accrual completeness</t>
  </si>
  <si>
    <t xml:space="preserve">Confirm goods/services received but not invoiced are accrued at period-end</t>
  </si>
  <si>
    <t xml:space="preserve">Recompute the open PO/receipt-without-invoice accrual for 2 months and agree to the amount booked to the GL</t>
  </si>
  <si>
    <t xml:space="preserve">2 of 12 months</t>
  </si>
  <si>
    <t xml:space="preserve">2026-07-23</t>
  </si>
  <si>
    <t xml:space="preserve">Controls Tested:</t>
  </si>
  <si>
    <t xml:space="preserve">Exceptions Noted:</t>
  </si>
  <si>
    <t xml:space="preserve">Controls Concluded Ineffective:</t>
  </si>
  <si>
    <t xml:space="preserve">Deficiency ID</t>
  </si>
  <si>
    <t xml:space="preserve">Related Control ID</t>
  </si>
  <si>
    <t xml:space="preserve">Date Identified</t>
  </si>
  <si>
    <t xml:space="preserve">Deficiency Description</t>
  </si>
  <si>
    <t xml:space="preserve">Root Cause</t>
  </si>
  <si>
    <t xml:space="preserve">Severity</t>
  </si>
  <si>
    <t xml:space="preserve">Financial Statement Impact</t>
  </si>
  <si>
    <t xml:space="preserve">Compensating Controls</t>
  </si>
  <si>
    <t xml:space="preserve">Remediation Plan</t>
  </si>
  <si>
    <t xml:space="preserve">Remediation Owner</t>
  </si>
  <si>
    <t xml:space="preserve">Target Completion Date</t>
  </si>
  <si>
    <t xml:space="preserve">Status</t>
  </si>
  <si>
    <t xml:space="preserve">Retest Date</t>
  </si>
  <si>
    <t xml:space="preserve">Retest Result</t>
  </si>
  <si>
    <t xml:space="preserve">P2P-D01</t>
  </si>
  <si>
    <t xml:space="preserve">One purchase order was released to a vendor before receiving required second-level approval</t>
  </si>
  <si>
    <t xml:space="preserve">Workflow delegation setting incorrectly allowed auto-release after a single approval when the primary approver was on leave</t>
  </si>
  <si>
    <t xml:space="preserve">Control Deficiency</t>
  </si>
  <si>
    <t xml:space="preserve">Low - isolated transaction, immaterial dollar amount</t>
  </si>
  <si>
    <t xml:space="preserve">Monthly PO listing is reviewed by the Procurement Manager for approval completeness</t>
  </si>
  <si>
    <t xml:space="preserve">Correct the delegation configuration in the procurement workflow tool and retest a sample of delegated approvals</t>
  </si>
  <si>
    <t xml:space="preserve">2026-08-31</t>
  </si>
  <si>
    <t xml:space="preserve">In Progress</t>
  </si>
  <si>
    <t xml:space="preserve">2026-09-15</t>
  </si>
  <si>
    <t xml:space="preserve">P2P-D02</t>
  </si>
  <si>
    <t xml:space="preserve">2026-06-01</t>
  </si>
  <si>
    <t xml:space="preserve">Quarterly access review identified one AP clerk with both vendor master edit rights and payment release rights</t>
  </si>
  <si>
    <t xml:space="preserve">Role template used for the position was not updated after a system implementation combined two legacy roles</t>
  </si>
  <si>
    <t xml:space="preserve">Significant Deficiency</t>
  </si>
  <si>
    <t xml:space="preserve">Moderate - conflicting access existed for approximately one quarter with no identified fraudulent transactions upon investigation</t>
  </si>
  <si>
    <t xml:space="preserve">Monthly vendor master change report reviewed by AP Manager</t>
  </si>
  <si>
    <t xml:space="preserve">Redesign the role template to separate vendor maintenance and payment release, remove conflicting access, and add a compensating monthly review until the role fix is deployed</t>
  </si>
  <si>
    <t xml:space="preserve">IT Security Manager</t>
  </si>
  <si>
    <t xml:space="preserve">2026-09-20</t>
  </si>
  <si>
    <t xml:space="preserve">Open Items:</t>
  </si>
  <si>
    <t xml:space="preserve">Material Weaknesses Logged:</t>
  </si>
  <si>
    <t xml:space="preserve">Process Name</t>
  </si>
  <si>
    <t xml:space="preserve">Process Owner</t>
  </si>
  <si>
    <t xml:space="preserve">Process Objective</t>
  </si>
  <si>
    <t xml:space="preserve">Process Description (Step-by-Step)</t>
  </si>
  <si>
    <t xml:space="preserve">Systems / Applications Used</t>
  </si>
  <si>
    <t xml:space="preserve">Key Inputs</t>
  </si>
  <si>
    <t xml:space="preserve">Key Outputs</t>
  </si>
  <si>
    <t xml:space="preserve">Related Control ID(s)</t>
  </si>
  <si>
    <t xml:space="preserve">Risks Addressed</t>
  </si>
  <si>
    <t xml:space="preserve">Segregation of Duties Considerations</t>
  </si>
  <si>
    <t xml:space="preserve">Related Policies / Procedures</t>
  </si>
  <si>
    <t xml:space="preserve">Last Reviewed Date</t>
  </si>
  <si>
    <t xml:space="preserve">Reviewed By</t>
  </si>
  <si>
    <t xml:space="preserve">Procure-to-Pay</t>
  </si>
  <si>
    <t xml:space="preserve">Controller / Procurement Manager</t>
  </si>
  <si>
    <t xml:space="preserve">Ensure purchases are properly authorized, goods/services are received as ordered, and vendors are paid accurately and timely</t>
  </si>
  <si>
    <t xml:space="preserve">1) Requisition raised and approved; 2) PO issued per approval matrix; 3) Goods/services received and matched to PO by receiving; 4) Vendor invoice received and three-way matched; 5) Payment approved and disbursed; 6) Period-end accrual booked for unmatched receipts; 7) Vendor master changes independently verified</t>
  </si>
  <si>
    <t xml:space="preserve">ERP, Procurement Module, AP Automation Tool</t>
  </si>
  <si>
    <t xml:space="preserve">Requisitions, POs, vendor invoices, receiving reports</t>
  </si>
  <si>
    <t xml:space="preserve">Approved payments, AP subledger entries, period-end accruals</t>
  </si>
  <si>
    <t xml:space="preserve">P2P-C01 through P2P-C08</t>
  </si>
  <si>
    <t xml:space="preserve">Unauthorized purchases; fictitious vendors; duplicate payments; understated liabilities</t>
  </si>
  <si>
    <t xml:space="preserve">Requisitioning, approval, receiving, invoice processing, vendor maintenance, and payment disbursement are segregated across roles</t>
  </si>
  <si>
    <t xml:space="preserve">Procurement Policy; Delegation of Authority Matrix; T&amp;E Policy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</si>
</sst>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1F4E78"/>
      <name val="Arial"/>
      <family val="0"/>
      <charset val="1"/>
    </font>
    <font>
      <i val="true"/>
      <sz val="12"/>
      <color rgb="FF595959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1F4E7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ControlTestingTracker" displayName="ControlTestingTracker" ref="A1:N6" headerRowCount="1" totalsRowCount="0" totalsRowShown="0">
  <autoFilter ref="A1:N6"/>
  <tableColumns count="14">
    <tableColumn id="1" name="Control ID"/>
    <tableColumn id="2" name="Control Description"/>
    <tableColumn id="3" name="Test Objective"/>
    <tableColumn id="4" name="Test Procedure"/>
    <tableColumn id="5" name="Sample Size / Methodology"/>
    <tableColumn id="6" name="Testing Period"/>
    <tableColumn id="7" name="Tester"/>
    <tableColumn id="8" name="Test Date"/>
    <tableColumn id="9" name="# Sampled"/>
    <tableColumn id="10" name="# Exceptions"/>
    <tableColumn id="11" name="Exception Description"/>
    <tableColumn id="12" name="Conclusion"/>
    <tableColumn id="13" name="Reviewer"/>
    <tableColumn id="14" name="Review Date"/>
  </tableColumns>
</table>
</file>

<file path=xl/tables/table2.xml><?xml version="1.0" encoding="utf-8"?>
<table xmlns="http://schemas.openxmlformats.org/spreadsheetml/2006/main" id="2" name="DeficiencyLog" displayName="DeficiencyLog" ref="A1:N3" headerRowCount="1" totalsRowCount="0" totalsRowShown="0">
  <autoFilter ref="A1:N3"/>
  <tableColumns count="14">
    <tableColumn id="1" name="Deficiency ID"/>
    <tableColumn id="2" name="Related Control ID"/>
    <tableColumn id="3" name="Date Identified"/>
    <tableColumn id="4" name="Deficiency Description"/>
    <tableColumn id="5" name="Root Cause"/>
    <tableColumn id="6" name="Severity"/>
    <tableColumn id="7" name="Financial Statement Impact"/>
    <tableColumn id="8" name="Compensating Controls"/>
    <tableColumn id="9" name="Remediation Plan"/>
    <tableColumn id="10" name="Remediation Owner"/>
    <tableColumn id="11" name="Target Completion Date"/>
    <tableColumn id="12" name="Status"/>
    <tableColumn id="13" name="Retest Date"/>
    <tableColumn id="14" name="Retest Result"/>
  </tableColumns>
</table>
</file>

<file path=xl/tables/table3.xml><?xml version="1.0" encoding="utf-8"?>
<table xmlns="http://schemas.openxmlformats.org/spreadsheetml/2006/main" id="3" name="ProcessNarratives" displayName="ProcessNarratives" ref="A1:M2" headerRowCount="1" totalsRowCount="0" totalsRowShown="0">
  <autoFilter ref="A1:M2"/>
  <tableColumns count="13">
    <tableColumn id="1" name="Process Name"/>
    <tableColumn id="2" name="Process Owner"/>
    <tableColumn id="3" name="Process Objective"/>
    <tableColumn id="4" name="Process Description (Step-by-Step)"/>
    <tableColumn id="5" name="Systems / Applications Used"/>
    <tableColumn id="6" name="Key Inputs"/>
    <tableColumn id="7" name="Key Outputs"/>
    <tableColumn id="8" name="Related Control ID(s)"/>
    <tableColumn id="9" name="Risks Addressed"/>
    <tableColumn id="10" name="Segregation of Duties Considerations"/>
    <tableColumn id="11" name="Related Policies / Procedures"/>
    <tableColumn id="12" name="Last Reviewed Date"/>
    <tableColumn id="13" name="Reviewed By"/>
  </tableColumns>
</table>
</file>

<file path=xl/tables/table4.xml><?xml version="1.0" encoding="utf-8"?>
<table xmlns="http://schemas.openxmlformats.org/spreadsheetml/2006/main" id="4" name="RiskControlMatrix" displayName="RiskControlMatrix" ref="A1:O11" headerRowCount="1" totalsRowCount="0" totalsRowShown="0">
  <autoFilter ref="A1:O11"/>
  <tableColumns count="15">
    <tableColumn id="1" name="Process"/>
    <tableColumn id="2" name="Sub-Process"/>
    <tableColumn id="3" name="Risk ID"/>
    <tableColumn id="4" name="Risk Description"/>
    <tableColumn id="5" name="Financial Statement Assertion(s)"/>
    <tableColumn id="6" name="COSO Component"/>
    <tableColumn id="7" name="Control ID"/>
    <tableColumn id="8" name="Control Description"/>
    <tableColumn id="9" name="Control Type&#10;(Preventive/Detective)"/>
    <tableColumn id="10" name="Control Nature&#10;(Manual/Automated/IT-Dependent)"/>
    <tableColumn id="11" name="Frequency"/>
    <tableColumn id="12" name="Control Owner"/>
    <tableColumn id="13" name="Key Control&#10;(Y/N)"/>
    <tableColumn id="14" name="Evidence / Documentation"/>
    <tableColumn id="15" name="Systems / Applications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table" Target="../tables/table4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table" Target="../tables/table2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table" Target="../tables/table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B2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100"/>
  </cols>
  <sheetData>
    <row r="2" customFormat="false" ht="22.05" hidden="false" customHeight="false" outlineLevel="0" collapsed="false">
      <c r="B2" s="1" t="s">
        <v>0</v>
      </c>
    </row>
    <row r="3" customFormat="false" ht="15" hidden="false" customHeight="false" outlineLevel="0" collapsed="false">
      <c r="B3" s="2" t="s">
        <v>1</v>
      </c>
    </row>
    <row r="5" customFormat="false" ht="15" hidden="false" customHeight="false" outlineLevel="0" collapsed="false">
      <c r="B5" s="3" t="s">
        <v>2</v>
      </c>
    </row>
    <row r="6" customFormat="false" ht="45" hidden="false" customHeight="true" outlineLevel="0" collapsed="false">
      <c r="B6" s="4" t="s">
        <v>3</v>
      </c>
    </row>
    <row r="7" customFormat="false" ht="15" hidden="false" customHeight="false" outlineLevel="0" collapsed="false">
      <c r="B7" s="4"/>
    </row>
    <row r="8" customFormat="false" ht="15" hidden="false" customHeight="false" outlineLevel="0" collapsed="false">
      <c r="B8" s="3" t="s">
        <v>4</v>
      </c>
    </row>
    <row r="9" customFormat="false" ht="45" hidden="false" customHeight="true" outlineLevel="0" collapsed="false">
      <c r="B9" s="4" t="s">
        <v>5</v>
      </c>
    </row>
    <row r="10" customFormat="false" ht="45" hidden="false" customHeight="true" outlineLevel="0" collapsed="false">
      <c r="B10" s="4" t="s">
        <v>6</v>
      </c>
    </row>
    <row r="11" customFormat="false" ht="45" hidden="false" customHeight="true" outlineLevel="0" collapsed="false">
      <c r="B11" s="4" t="s">
        <v>7</v>
      </c>
    </row>
    <row r="12" customFormat="false" ht="45" hidden="false" customHeight="true" outlineLevel="0" collapsed="false">
      <c r="B12" s="4" t="s">
        <v>8</v>
      </c>
    </row>
    <row r="13" customFormat="false" ht="15" hidden="false" customHeight="false" outlineLevel="0" collapsed="false">
      <c r="B13" s="4"/>
    </row>
    <row r="14" customFormat="false" ht="15" hidden="false" customHeight="false" outlineLevel="0" collapsed="false">
      <c r="B14" s="3" t="s">
        <v>9</v>
      </c>
    </row>
    <row r="15" customFormat="false" ht="45" hidden="false" customHeight="true" outlineLevel="0" collapsed="false">
      <c r="B15" s="4" t="s">
        <v>10</v>
      </c>
    </row>
    <row r="16" customFormat="false" ht="15" hidden="false" customHeight="false" outlineLevel="0" collapsed="false">
      <c r="B16" s="4"/>
    </row>
    <row r="17" customFormat="false" ht="45" hidden="false" customHeight="true" outlineLevel="0" collapsed="false">
      <c r="B17" s="4" t="s">
        <v>11</v>
      </c>
    </row>
    <row r="18" customFormat="false" ht="15" hidden="false" customHeight="false" outlineLevel="0" collapsed="false">
      <c r="B18" s="4"/>
    </row>
    <row r="19" customFormat="false" ht="15" hidden="false" customHeight="false" outlineLevel="0" collapsed="false">
      <c r="B19" s="3" t="s">
        <v>12</v>
      </c>
    </row>
    <row r="20" customFormat="false" ht="23.85" hidden="false" customHeight="false" outlineLevel="0" collapsed="false">
      <c r="B20" s="4" t="s">
        <v>13</v>
      </c>
    </row>
    <row r="21" customFormat="false" ht="23.85" hidden="false" customHeight="false" outlineLevel="0" collapsed="false">
      <c r="B21" s="4" t="s">
        <v>14</v>
      </c>
    </row>
    <row r="22" customFormat="false" ht="23.85" hidden="false" customHeight="false" outlineLevel="0" collapsed="false">
      <c r="B22" s="4" t="s">
        <v>15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1" style="0" width="20"/>
    <col collapsed="false" customWidth="true" hidden="false" outlineLevel="0" max="3" min="3" style="0" width="9"/>
    <col collapsed="false" customWidth="true" hidden="false" outlineLevel="0" max="4" min="4" style="0" width="34"/>
    <col collapsed="false" customWidth="true" hidden="false" outlineLevel="0" max="5" min="5" style="0" width="16"/>
    <col collapsed="false" customWidth="true" hidden="false" outlineLevel="0" max="6" min="6" style="0" width="18"/>
    <col collapsed="false" customWidth="true" hidden="false" outlineLevel="0" max="7" min="7" style="0" width="10"/>
    <col collapsed="false" customWidth="true" hidden="false" outlineLevel="0" max="8" min="8" style="0" width="42"/>
    <col collapsed="false" customWidth="true" hidden="false" outlineLevel="0" max="9" min="9" style="0" width="14"/>
    <col collapsed="false" customWidth="true" hidden="false" outlineLevel="0" max="10" min="10" style="0" width="16"/>
    <col collapsed="false" customWidth="true" hidden="false" outlineLevel="0" max="11" min="11" style="0" width="12"/>
    <col collapsed="false" customWidth="true" hidden="false" outlineLevel="0" max="12" min="12" style="0" width="20"/>
    <col collapsed="false" customWidth="true" hidden="false" outlineLevel="0" max="13" min="13" style="0" width="10"/>
    <col collapsed="false" customWidth="true" hidden="false" outlineLevel="0" max="14" min="14" style="0" width="26"/>
    <col collapsed="false" customWidth="true" hidden="false" outlineLevel="0" max="15" min="15" style="0" width="20"/>
  </cols>
  <sheetData>
    <row r="1" customFormat="false" ht="30" hidden="false" customHeight="true" outlineLevel="0" collapsed="false">
      <c r="A1" s="5" t="s">
        <v>16</v>
      </c>
      <c r="B1" s="5" t="s">
        <v>17</v>
      </c>
      <c r="C1" s="5" t="s">
        <v>18</v>
      </c>
      <c r="D1" s="5" t="s">
        <v>19</v>
      </c>
      <c r="E1" s="5" t="s">
        <v>20</v>
      </c>
      <c r="F1" s="5" t="s">
        <v>21</v>
      </c>
      <c r="G1" s="5" t="s">
        <v>22</v>
      </c>
      <c r="H1" s="5" t="s">
        <v>23</v>
      </c>
      <c r="I1" s="5" t="s">
        <v>24</v>
      </c>
      <c r="J1" s="5" t="s">
        <v>25</v>
      </c>
      <c r="K1" s="5" t="s">
        <v>26</v>
      </c>
      <c r="L1" s="5" t="s">
        <v>27</v>
      </c>
      <c r="M1" s="5" t="s">
        <v>28</v>
      </c>
      <c r="N1" s="5" t="s">
        <v>29</v>
      </c>
      <c r="O1" s="5" t="s">
        <v>30</v>
      </c>
    </row>
    <row r="2" customFormat="false" ht="35.05" hidden="false" customHeight="false" outlineLevel="0" collapsed="false">
      <c r="A2" s="6" t="s">
        <v>31</v>
      </c>
      <c r="B2" s="6" t="s">
        <v>32</v>
      </c>
      <c r="C2" s="6" t="s">
        <v>33</v>
      </c>
      <c r="D2" s="6" t="s">
        <v>34</v>
      </c>
      <c r="E2" s="6" t="s">
        <v>35</v>
      </c>
      <c r="F2" s="6" t="s">
        <v>36</v>
      </c>
      <c r="G2" s="6" t="s">
        <v>37</v>
      </c>
      <c r="H2" s="6" t="s">
        <v>38</v>
      </c>
      <c r="I2" s="6" t="s">
        <v>39</v>
      </c>
      <c r="J2" s="6" t="s">
        <v>40</v>
      </c>
      <c r="K2" s="6" t="s">
        <v>41</v>
      </c>
      <c r="L2" s="6" t="s">
        <v>42</v>
      </c>
      <c r="M2" s="6" t="s">
        <v>43</v>
      </c>
      <c r="N2" s="6" t="s">
        <v>44</v>
      </c>
      <c r="O2" s="6" t="s">
        <v>45</v>
      </c>
    </row>
    <row r="3" customFormat="false" ht="57.45" hidden="false" customHeight="false" outlineLevel="0" collapsed="false">
      <c r="A3" s="6" t="s">
        <v>31</v>
      </c>
      <c r="B3" s="6" t="s">
        <v>46</v>
      </c>
      <c r="C3" s="6" t="s">
        <v>47</v>
      </c>
      <c r="D3" s="6" t="s">
        <v>48</v>
      </c>
      <c r="E3" s="6" t="s">
        <v>35</v>
      </c>
      <c r="F3" s="6" t="s">
        <v>36</v>
      </c>
      <c r="G3" s="6" t="s">
        <v>49</v>
      </c>
      <c r="H3" s="6" t="s">
        <v>50</v>
      </c>
      <c r="I3" s="6" t="s">
        <v>51</v>
      </c>
      <c r="J3" s="6" t="s">
        <v>40</v>
      </c>
      <c r="K3" s="6" t="s">
        <v>41</v>
      </c>
      <c r="L3" s="6" t="s">
        <v>42</v>
      </c>
      <c r="M3" s="6" t="s">
        <v>43</v>
      </c>
      <c r="N3" s="6" t="s">
        <v>52</v>
      </c>
      <c r="O3" s="6" t="s">
        <v>45</v>
      </c>
    </row>
    <row r="4" customFormat="false" ht="57.45" hidden="false" customHeight="false" outlineLevel="0" collapsed="false">
      <c r="A4" s="6" t="s">
        <v>53</v>
      </c>
      <c r="B4" s="6" t="s">
        <v>54</v>
      </c>
      <c r="C4" s="6" t="s">
        <v>55</v>
      </c>
      <c r="D4" s="6" t="s">
        <v>56</v>
      </c>
      <c r="E4" s="6" t="s">
        <v>35</v>
      </c>
      <c r="F4" s="6" t="s">
        <v>36</v>
      </c>
      <c r="G4" s="6" t="s">
        <v>57</v>
      </c>
      <c r="H4" s="6" t="s">
        <v>58</v>
      </c>
      <c r="I4" s="6" t="s">
        <v>39</v>
      </c>
      <c r="J4" s="6" t="s">
        <v>59</v>
      </c>
      <c r="K4" s="6" t="s">
        <v>41</v>
      </c>
      <c r="L4" s="6" t="s">
        <v>60</v>
      </c>
      <c r="M4" s="6" t="s">
        <v>43</v>
      </c>
      <c r="N4" s="6" t="s">
        <v>61</v>
      </c>
      <c r="O4" s="6" t="s">
        <v>62</v>
      </c>
    </row>
    <row r="5" customFormat="false" ht="46.25" hidden="false" customHeight="false" outlineLevel="0" collapsed="false">
      <c r="A5" s="6" t="s">
        <v>63</v>
      </c>
      <c r="B5" s="6" t="s">
        <v>64</v>
      </c>
      <c r="C5" s="6" t="s">
        <v>65</v>
      </c>
      <c r="D5" s="6" t="s">
        <v>66</v>
      </c>
      <c r="E5" s="6" t="s">
        <v>67</v>
      </c>
      <c r="F5" s="6" t="s">
        <v>36</v>
      </c>
      <c r="G5" s="6" t="s">
        <v>68</v>
      </c>
      <c r="H5" s="6" t="s">
        <v>69</v>
      </c>
      <c r="I5" s="6" t="s">
        <v>39</v>
      </c>
      <c r="J5" s="6" t="s">
        <v>59</v>
      </c>
      <c r="K5" s="6" t="s">
        <v>41</v>
      </c>
      <c r="L5" s="6" t="s">
        <v>70</v>
      </c>
      <c r="M5" s="6" t="s">
        <v>43</v>
      </c>
      <c r="N5" s="6" t="s">
        <v>71</v>
      </c>
      <c r="O5" s="6" t="s">
        <v>72</v>
      </c>
    </row>
    <row r="6" customFormat="false" ht="46.25" hidden="false" customHeight="false" outlineLevel="0" collapsed="false">
      <c r="A6" s="6" t="s">
        <v>73</v>
      </c>
      <c r="B6" s="6" t="s">
        <v>74</v>
      </c>
      <c r="C6" s="6" t="s">
        <v>75</v>
      </c>
      <c r="D6" s="6" t="s">
        <v>76</v>
      </c>
      <c r="E6" s="6" t="s">
        <v>77</v>
      </c>
      <c r="F6" s="6" t="s">
        <v>36</v>
      </c>
      <c r="G6" s="6" t="s">
        <v>78</v>
      </c>
      <c r="H6" s="6" t="s">
        <v>79</v>
      </c>
      <c r="I6" s="6" t="s">
        <v>39</v>
      </c>
      <c r="J6" s="6" t="s">
        <v>40</v>
      </c>
      <c r="K6" s="6" t="s">
        <v>41</v>
      </c>
      <c r="L6" s="6" t="s">
        <v>60</v>
      </c>
      <c r="M6" s="6" t="s">
        <v>43</v>
      </c>
      <c r="N6" s="6" t="s">
        <v>80</v>
      </c>
      <c r="O6" s="6" t="s">
        <v>81</v>
      </c>
    </row>
    <row r="7" customFormat="false" ht="46.25" hidden="false" customHeight="false" outlineLevel="0" collapsed="false">
      <c r="A7" s="6" t="s">
        <v>73</v>
      </c>
      <c r="B7" s="6" t="s">
        <v>82</v>
      </c>
      <c r="C7" s="6" t="s">
        <v>83</v>
      </c>
      <c r="D7" s="6" t="s">
        <v>84</v>
      </c>
      <c r="E7" s="6" t="s">
        <v>35</v>
      </c>
      <c r="F7" s="6" t="s">
        <v>36</v>
      </c>
      <c r="G7" s="6" t="s">
        <v>85</v>
      </c>
      <c r="H7" s="6" t="s">
        <v>86</v>
      </c>
      <c r="I7" s="6" t="s">
        <v>51</v>
      </c>
      <c r="J7" s="6" t="s">
        <v>40</v>
      </c>
      <c r="K7" s="6" t="s">
        <v>87</v>
      </c>
      <c r="L7" s="6" t="s">
        <v>60</v>
      </c>
      <c r="M7" s="6" t="s">
        <v>43</v>
      </c>
      <c r="N7" s="6" t="s">
        <v>88</v>
      </c>
      <c r="O7" s="6" t="s">
        <v>81</v>
      </c>
    </row>
    <row r="8" customFormat="false" ht="46.25" hidden="false" customHeight="false" outlineLevel="0" collapsed="false">
      <c r="A8" s="6" t="s">
        <v>89</v>
      </c>
      <c r="B8" s="6" t="s">
        <v>90</v>
      </c>
      <c r="C8" s="6" t="s">
        <v>91</v>
      </c>
      <c r="D8" s="6" t="s">
        <v>92</v>
      </c>
      <c r="E8" s="6" t="s">
        <v>35</v>
      </c>
      <c r="F8" s="6" t="s">
        <v>36</v>
      </c>
      <c r="G8" s="6" t="s">
        <v>93</v>
      </c>
      <c r="H8" s="6" t="s">
        <v>94</v>
      </c>
      <c r="I8" s="6" t="s">
        <v>39</v>
      </c>
      <c r="J8" s="6" t="s">
        <v>59</v>
      </c>
      <c r="K8" s="6" t="s">
        <v>95</v>
      </c>
      <c r="L8" s="6" t="s">
        <v>96</v>
      </c>
      <c r="M8" s="6" t="s">
        <v>43</v>
      </c>
      <c r="N8" s="6" t="s">
        <v>97</v>
      </c>
      <c r="O8" s="6" t="s">
        <v>98</v>
      </c>
    </row>
    <row r="9" customFormat="false" ht="35.05" hidden="false" customHeight="false" outlineLevel="0" collapsed="false">
      <c r="A9" s="6" t="s">
        <v>99</v>
      </c>
      <c r="B9" s="6" t="s">
        <v>100</v>
      </c>
      <c r="C9" s="6" t="s">
        <v>101</v>
      </c>
      <c r="D9" s="6" t="s">
        <v>102</v>
      </c>
      <c r="E9" s="6" t="s">
        <v>103</v>
      </c>
      <c r="F9" s="6" t="s">
        <v>36</v>
      </c>
      <c r="G9" s="6" t="s">
        <v>104</v>
      </c>
      <c r="H9" s="6" t="s">
        <v>105</v>
      </c>
      <c r="I9" s="6" t="s">
        <v>106</v>
      </c>
      <c r="J9" s="6" t="s">
        <v>59</v>
      </c>
      <c r="K9" s="6" t="s">
        <v>107</v>
      </c>
      <c r="L9" s="6" t="s">
        <v>108</v>
      </c>
      <c r="M9" s="6" t="s">
        <v>43</v>
      </c>
      <c r="N9" s="6" t="s">
        <v>109</v>
      </c>
      <c r="O9" s="6" t="s">
        <v>110</v>
      </c>
    </row>
    <row r="10" customFormat="false" ht="46.25" hidden="false" customHeight="false" outlineLevel="0" collapsed="false">
      <c r="A10" s="6" t="s">
        <v>111</v>
      </c>
      <c r="B10" s="6" t="s">
        <v>112</v>
      </c>
      <c r="C10" s="6" t="s">
        <v>113</v>
      </c>
      <c r="D10" s="6" t="s">
        <v>114</v>
      </c>
      <c r="E10" s="6" t="s">
        <v>115</v>
      </c>
      <c r="F10" s="6" t="s">
        <v>36</v>
      </c>
      <c r="G10" s="6" t="s">
        <v>116</v>
      </c>
      <c r="H10" s="6" t="s">
        <v>117</v>
      </c>
      <c r="I10" s="6" t="s">
        <v>39</v>
      </c>
      <c r="J10" s="6" t="s">
        <v>118</v>
      </c>
      <c r="K10" s="6" t="s">
        <v>41</v>
      </c>
      <c r="L10" s="6" t="s">
        <v>60</v>
      </c>
      <c r="M10" s="6" t="s">
        <v>119</v>
      </c>
      <c r="N10" s="6" t="s">
        <v>120</v>
      </c>
      <c r="O10" s="6" t="s">
        <v>121</v>
      </c>
    </row>
    <row r="11" customFormat="false" ht="46.25" hidden="false" customHeight="false" outlineLevel="0" collapsed="false">
      <c r="A11" s="6" t="s">
        <v>122</v>
      </c>
      <c r="B11" s="6" t="s">
        <v>123</v>
      </c>
      <c r="C11" s="6" t="s">
        <v>124</v>
      </c>
      <c r="D11" s="6" t="s">
        <v>125</v>
      </c>
      <c r="E11" s="6" t="s">
        <v>35</v>
      </c>
      <c r="F11" s="6" t="s">
        <v>36</v>
      </c>
      <c r="G11" s="6" t="s">
        <v>126</v>
      </c>
      <c r="H11" s="6" t="s">
        <v>127</v>
      </c>
      <c r="I11" s="6" t="s">
        <v>39</v>
      </c>
      <c r="J11" s="6" t="s">
        <v>118</v>
      </c>
      <c r="K11" s="6" t="s">
        <v>128</v>
      </c>
      <c r="L11" s="6" t="s">
        <v>129</v>
      </c>
      <c r="M11" s="6" t="s">
        <v>43</v>
      </c>
      <c r="N11" s="6" t="s">
        <v>130</v>
      </c>
      <c r="O11" s="6" t="s">
        <v>131</v>
      </c>
    </row>
    <row r="13" customFormat="false" ht="15" hidden="false" customHeight="false" outlineLevel="0" collapsed="false">
      <c r="A13" s="7" t="s">
        <v>132</v>
      </c>
      <c r="B13" s="7" t="n">
        <f aca="false">COUNTA(A2:A11)-COUNTBLANK(A2:A11)</f>
        <v>10</v>
      </c>
    </row>
    <row r="14" customFormat="false" ht="15" hidden="false" customHeight="false" outlineLevel="0" collapsed="false">
      <c r="A14" s="7" t="s">
        <v>133</v>
      </c>
      <c r="B14" s="7" t="n">
        <f aca="false">COUNTIF(M2:M11,"Y")</f>
        <v>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34"/>
    <col collapsed="false" customWidth="true" hidden="false" outlineLevel="0" max="3" min="3" style="0" width="26"/>
    <col collapsed="false" customWidth="true" hidden="false" outlineLevel="0" max="4" min="4" style="0" width="36"/>
    <col collapsed="false" customWidth="true" hidden="false" outlineLevel="0" max="5" min="5" style="0" width="22"/>
    <col collapsed="false" customWidth="true" hidden="false" outlineLevel="0" max="7" min="6" style="0" width="14"/>
    <col collapsed="false" customWidth="true" hidden="false" outlineLevel="0" max="8" min="8" style="0" width="12"/>
    <col collapsed="false" customWidth="true" hidden="false" outlineLevel="0" max="10" min="9" style="0" width="10"/>
    <col collapsed="false" customWidth="true" hidden="false" outlineLevel="0" max="11" min="11" style="0" width="26"/>
    <col collapsed="false" customWidth="true" hidden="false" outlineLevel="0" max="12" min="12" style="0" width="18"/>
    <col collapsed="false" customWidth="true" hidden="false" outlineLevel="0" max="13" min="13" style="0" width="14"/>
    <col collapsed="false" customWidth="true" hidden="false" outlineLevel="0" max="14" min="14" style="0" width="12"/>
  </cols>
  <sheetData>
    <row r="1" customFormat="false" ht="30" hidden="false" customHeight="true" outlineLevel="0" collapsed="false">
      <c r="A1" s="5" t="s">
        <v>22</v>
      </c>
      <c r="B1" s="5" t="s">
        <v>23</v>
      </c>
      <c r="C1" s="5" t="s">
        <v>134</v>
      </c>
      <c r="D1" s="5" t="s">
        <v>135</v>
      </c>
      <c r="E1" s="5" t="s">
        <v>136</v>
      </c>
      <c r="F1" s="5" t="s">
        <v>137</v>
      </c>
      <c r="G1" s="5" t="s">
        <v>138</v>
      </c>
      <c r="H1" s="5" t="s">
        <v>139</v>
      </c>
      <c r="I1" s="5" t="s">
        <v>140</v>
      </c>
      <c r="J1" s="5" t="s">
        <v>141</v>
      </c>
      <c r="K1" s="5" t="s">
        <v>142</v>
      </c>
      <c r="L1" s="5" t="s">
        <v>143</v>
      </c>
      <c r="M1" s="5" t="s">
        <v>144</v>
      </c>
      <c r="N1" s="5" t="s">
        <v>145</v>
      </c>
    </row>
    <row r="2" customFormat="false" ht="46.25" hidden="false" customHeight="false" outlineLevel="0" collapsed="false">
      <c r="A2" s="6" t="s">
        <v>49</v>
      </c>
      <c r="B2" s="6" t="s">
        <v>146</v>
      </c>
      <c r="C2" s="6" t="s">
        <v>147</v>
      </c>
      <c r="D2" s="6" t="s">
        <v>148</v>
      </c>
      <c r="E2" s="6" t="s">
        <v>149</v>
      </c>
      <c r="F2" s="6" t="s">
        <v>150</v>
      </c>
      <c r="G2" s="6" t="s">
        <v>151</v>
      </c>
      <c r="H2" s="6" t="s">
        <v>152</v>
      </c>
      <c r="I2" s="6" t="n">
        <v>20</v>
      </c>
      <c r="J2" s="6" t="n">
        <v>1</v>
      </c>
      <c r="K2" s="6" t="s">
        <v>153</v>
      </c>
      <c r="L2" s="6" t="s">
        <v>154</v>
      </c>
      <c r="M2" s="6" t="s">
        <v>42</v>
      </c>
      <c r="N2" s="6" t="s">
        <v>155</v>
      </c>
    </row>
    <row r="3" customFormat="false" ht="57.45" hidden="false" customHeight="false" outlineLevel="0" collapsed="false">
      <c r="A3" s="6" t="s">
        <v>57</v>
      </c>
      <c r="B3" s="6" t="s">
        <v>156</v>
      </c>
      <c r="C3" s="6" t="s">
        <v>157</v>
      </c>
      <c r="D3" s="6" t="s">
        <v>158</v>
      </c>
      <c r="E3" s="6" t="s">
        <v>159</v>
      </c>
      <c r="F3" s="6" t="s">
        <v>150</v>
      </c>
      <c r="G3" s="6" t="s">
        <v>160</v>
      </c>
      <c r="H3" s="6" t="s">
        <v>161</v>
      </c>
      <c r="I3" s="6" t="n">
        <v>15</v>
      </c>
      <c r="J3" s="6" t="n">
        <v>0</v>
      </c>
      <c r="K3" s="6"/>
      <c r="L3" s="6" t="s">
        <v>162</v>
      </c>
      <c r="M3" s="6" t="s">
        <v>60</v>
      </c>
      <c r="N3" s="6" t="s">
        <v>163</v>
      </c>
    </row>
    <row r="4" customFormat="false" ht="35.05" hidden="false" customHeight="false" outlineLevel="0" collapsed="false">
      <c r="A4" s="6" t="s">
        <v>78</v>
      </c>
      <c r="B4" s="6" t="s">
        <v>164</v>
      </c>
      <c r="C4" s="6" t="s">
        <v>165</v>
      </c>
      <c r="D4" s="6" t="s">
        <v>166</v>
      </c>
      <c r="E4" s="6" t="s">
        <v>167</v>
      </c>
      <c r="F4" s="6" t="s">
        <v>150</v>
      </c>
      <c r="G4" s="6" t="s">
        <v>151</v>
      </c>
      <c r="H4" s="6" t="s">
        <v>168</v>
      </c>
      <c r="I4" s="6" t="n">
        <v>30</v>
      </c>
      <c r="J4" s="6" t="n">
        <v>0</v>
      </c>
      <c r="K4" s="6"/>
      <c r="L4" s="6" t="s">
        <v>162</v>
      </c>
      <c r="M4" s="6" t="s">
        <v>60</v>
      </c>
      <c r="N4" s="6" t="s">
        <v>169</v>
      </c>
    </row>
    <row r="5" customFormat="false" ht="46.25" hidden="false" customHeight="false" outlineLevel="0" collapsed="false">
      <c r="A5" s="6" t="s">
        <v>93</v>
      </c>
      <c r="B5" s="6" t="s">
        <v>170</v>
      </c>
      <c r="C5" s="6" t="s">
        <v>171</v>
      </c>
      <c r="D5" s="6" t="s">
        <v>172</v>
      </c>
      <c r="E5" s="6" t="s">
        <v>173</v>
      </c>
      <c r="F5" s="6" t="s">
        <v>150</v>
      </c>
      <c r="G5" s="6" t="s">
        <v>160</v>
      </c>
      <c r="H5" s="6" t="s">
        <v>155</v>
      </c>
      <c r="I5" s="6" t="n">
        <v>10</v>
      </c>
      <c r="J5" s="6" t="n">
        <v>0</v>
      </c>
      <c r="K5" s="6"/>
      <c r="L5" s="6" t="s">
        <v>162</v>
      </c>
      <c r="M5" s="6" t="s">
        <v>108</v>
      </c>
      <c r="N5" s="6" t="s">
        <v>174</v>
      </c>
    </row>
    <row r="6" customFormat="false" ht="35.05" hidden="false" customHeight="false" outlineLevel="0" collapsed="false">
      <c r="A6" s="6" t="s">
        <v>104</v>
      </c>
      <c r="B6" s="6" t="s">
        <v>175</v>
      </c>
      <c r="C6" s="6" t="s">
        <v>176</v>
      </c>
      <c r="D6" s="6" t="s">
        <v>177</v>
      </c>
      <c r="E6" s="6" t="s">
        <v>178</v>
      </c>
      <c r="F6" s="6" t="s">
        <v>150</v>
      </c>
      <c r="G6" s="6" t="s">
        <v>151</v>
      </c>
      <c r="H6" s="6" t="s">
        <v>163</v>
      </c>
      <c r="I6" s="6" t="n">
        <v>2</v>
      </c>
      <c r="J6" s="6" t="n">
        <v>0</v>
      </c>
      <c r="K6" s="6"/>
      <c r="L6" s="6" t="s">
        <v>162</v>
      </c>
      <c r="M6" s="6" t="s">
        <v>108</v>
      </c>
      <c r="N6" s="6" t="s">
        <v>179</v>
      </c>
    </row>
    <row r="8" customFormat="false" ht="15" hidden="false" customHeight="false" outlineLevel="0" collapsed="false">
      <c r="A8" s="7" t="s">
        <v>180</v>
      </c>
      <c r="B8" s="7" t="n">
        <f aca="false">COUNTA(A2:A6)</f>
        <v>5</v>
      </c>
    </row>
    <row r="9" customFormat="false" ht="15" hidden="false" customHeight="false" outlineLevel="0" collapsed="false">
      <c r="A9" s="7" t="s">
        <v>181</v>
      </c>
      <c r="B9" s="7" t="n">
        <f aca="false">SUM(J2:J6)</f>
        <v>1</v>
      </c>
    </row>
    <row r="10" customFormat="false" ht="15" hidden="false" customHeight="false" outlineLevel="0" collapsed="false">
      <c r="A10" s="7" t="s">
        <v>182</v>
      </c>
      <c r="B10" s="7" t="n">
        <f aca="false">COUNTIF(L2:L6,"Ineffective")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0"/>
    <col collapsed="false" customWidth="true" hidden="false" outlineLevel="0" max="3" min="2" style="0" width="12"/>
    <col collapsed="false" customWidth="true" hidden="false" outlineLevel="0" max="4" min="4" style="0" width="32"/>
    <col collapsed="false" customWidth="true" hidden="false" outlineLevel="0" max="5" min="5" style="0" width="24"/>
    <col collapsed="false" customWidth="true" hidden="false" outlineLevel="0" max="6" min="6" style="0" width="18"/>
    <col collapsed="false" customWidth="true" hidden="false" outlineLevel="0" max="8" min="7" style="0" width="24"/>
    <col collapsed="false" customWidth="true" hidden="false" outlineLevel="0" max="9" min="9" style="0" width="32"/>
    <col collapsed="false" customWidth="true" hidden="false" outlineLevel="0" max="10" min="10" style="0" width="18"/>
    <col collapsed="false" customWidth="true" hidden="false" outlineLevel="0" max="11" min="11" style="0" width="16"/>
    <col collapsed="false" customWidth="true" hidden="false" outlineLevel="0" max="12" min="12" style="0" width="14"/>
    <col collapsed="false" customWidth="true" hidden="false" outlineLevel="0" max="13" min="13" style="0" width="12"/>
    <col collapsed="false" customWidth="true" hidden="false" outlineLevel="0" max="14" min="14" style="0" width="16"/>
  </cols>
  <sheetData>
    <row r="1" customFormat="false" ht="30" hidden="false" customHeight="true" outlineLevel="0" collapsed="false">
      <c r="A1" s="5" t="s">
        <v>183</v>
      </c>
      <c r="B1" s="5" t="s">
        <v>184</v>
      </c>
      <c r="C1" s="5" t="s">
        <v>185</v>
      </c>
      <c r="D1" s="5" t="s">
        <v>186</v>
      </c>
      <c r="E1" s="5" t="s">
        <v>187</v>
      </c>
      <c r="F1" s="5" t="s">
        <v>188</v>
      </c>
      <c r="G1" s="5" t="s">
        <v>189</v>
      </c>
      <c r="H1" s="5" t="s">
        <v>190</v>
      </c>
      <c r="I1" s="5" t="s">
        <v>191</v>
      </c>
      <c r="J1" s="5" t="s">
        <v>192</v>
      </c>
      <c r="K1" s="5" t="s">
        <v>193</v>
      </c>
      <c r="L1" s="5" t="s">
        <v>194</v>
      </c>
      <c r="M1" s="5" t="s">
        <v>195</v>
      </c>
      <c r="N1" s="5" t="s">
        <v>196</v>
      </c>
    </row>
    <row r="2" customFormat="false" ht="57.45" hidden="false" customHeight="false" outlineLevel="0" collapsed="false">
      <c r="A2" s="6" t="s">
        <v>197</v>
      </c>
      <c r="B2" s="6" t="s">
        <v>49</v>
      </c>
      <c r="C2" s="6" t="s">
        <v>155</v>
      </c>
      <c r="D2" s="6" t="s">
        <v>198</v>
      </c>
      <c r="E2" s="6" t="s">
        <v>199</v>
      </c>
      <c r="F2" s="6" t="s">
        <v>200</v>
      </c>
      <c r="G2" s="6" t="s">
        <v>201</v>
      </c>
      <c r="H2" s="6" t="s">
        <v>202</v>
      </c>
      <c r="I2" s="6" t="s">
        <v>203</v>
      </c>
      <c r="J2" s="6" t="s">
        <v>42</v>
      </c>
      <c r="K2" s="6" t="s">
        <v>204</v>
      </c>
      <c r="L2" s="6" t="s">
        <v>205</v>
      </c>
      <c r="M2" s="6" t="s">
        <v>206</v>
      </c>
      <c r="N2" s="6"/>
    </row>
    <row r="3" customFormat="false" ht="57.45" hidden="false" customHeight="false" outlineLevel="0" collapsed="false">
      <c r="A3" s="6" t="s">
        <v>207</v>
      </c>
      <c r="B3" s="6" t="s">
        <v>126</v>
      </c>
      <c r="C3" s="6" t="s">
        <v>208</v>
      </c>
      <c r="D3" s="6" t="s">
        <v>209</v>
      </c>
      <c r="E3" s="6" t="s">
        <v>210</v>
      </c>
      <c r="F3" s="6" t="s">
        <v>211</v>
      </c>
      <c r="G3" s="6" t="s">
        <v>212</v>
      </c>
      <c r="H3" s="6" t="s">
        <v>213</v>
      </c>
      <c r="I3" s="6" t="s">
        <v>214</v>
      </c>
      <c r="J3" s="6" t="s">
        <v>215</v>
      </c>
      <c r="K3" s="6" t="s">
        <v>204</v>
      </c>
      <c r="L3" s="6" t="s">
        <v>205</v>
      </c>
      <c r="M3" s="6" t="s">
        <v>216</v>
      </c>
      <c r="N3" s="6"/>
    </row>
    <row r="5" customFormat="false" ht="15" hidden="false" customHeight="false" outlineLevel="0" collapsed="false">
      <c r="A5" s="7" t="s">
        <v>217</v>
      </c>
      <c r="B5" s="7" t="n">
        <f aca="false">COUNTIF(L2:L3,"Open")+COUNTIF(L2:L3,"In Progress")</f>
        <v>2</v>
      </c>
    </row>
    <row r="6" customFormat="false" ht="15" hidden="false" customHeight="false" outlineLevel="0" collapsed="false">
      <c r="A6" s="7" t="s">
        <v>218</v>
      </c>
      <c r="B6" s="7" t="n">
        <f aca="false">COUNTIF(F2:F3,"Material Weakness")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16"/>
    <col collapsed="false" customWidth="true" hidden="false" outlineLevel="0" max="3" min="3" style="0" width="26"/>
    <col collapsed="false" customWidth="true" hidden="false" outlineLevel="0" max="4" min="4" style="0" width="44"/>
    <col collapsed="false" customWidth="true" hidden="false" outlineLevel="0" max="7" min="5" style="0" width="20"/>
    <col collapsed="false" customWidth="true" hidden="false" outlineLevel="0" max="8" min="8" style="0" width="14"/>
    <col collapsed="false" customWidth="true" hidden="false" outlineLevel="0" max="9" min="9" style="0" width="24"/>
    <col collapsed="false" customWidth="true" hidden="false" outlineLevel="0" max="10" min="10" style="0" width="28"/>
    <col collapsed="false" customWidth="true" hidden="false" outlineLevel="0" max="11" min="11" style="0" width="22"/>
    <col collapsed="false" customWidth="true" hidden="false" outlineLevel="0" max="13" min="12" style="0" width="14"/>
  </cols>
  <sheetData>
    <row r="1" customFormat="false" ht="30" hidden="false" customHeight="true" outlineLevel="0" collapsed="false">
      <c r="A1" s="5" t="s">
        <v>219</v>
      </c>
      <c r="B1" s="5" t="s">
        <v>220</v>
      </c>
      <c r="C1" s="5" t="s">
        <v>221</v>
      </c>
      <c r="D1" s="5" t="s">
        <v>222</v>
      </c>
      <c r="E1" s="5" t="s">
        <v>223</v>
      </c>
      <c r="F1" s="5" t="s">
        <v>224</v>
      </c>
      <c r="G1" s="5" t="s">
        <v>225</v>
      </c>
      <c r="H1" s="5" t="s">
        <v>226</v>
      </c>
      <c r="I1" s="5" t="s">
        <v>227</v>
      </c>
      <c r="J1" s="5" t="s">
        <v>228</v>
      </c>
      <c r="K1" s="5" t="s">
        <v>229</v>
      </c>
      <c r="L1" s="5" t="s">
        <v>230</v>
      </c>
      <c r="M1" s="5" t="s">
        <v>231</v>
      </c>
    </row>
    <row r="2" customFormat="false" ht="79.85" hidden="false" customHeight="false" outlineLevel="0" collapsed="false">
      <c r="A2" s="6" t="s">
        <v>232</v>
      </c>
      <c r="B2" s="6" t="s">
        <v>233</v>
      </c>
      <c r="C2" s="6" t="s">
        <v>234</v>
      </c>
      <c r="D2" s="6" t="s">
        <v>235</v>
      </c>
      <c r="E2" s="6" t="s">
        <v>236</v>
      </c>
      <c r="F2" s="6" t="s">
        <v>237</v>
      </c>
      <c r="G2" s="6" t="s">
        <v>238</v>
      </c>
      <c r="H2" s="6" t="s">
        <v>239</v>
      </c>
      <c r="I2" s="6" t="s">
        <v>240</v>
      </c>
      <c r="J2" s="6" t="s">
        <v>241</v>
      </c>
      <c r="K2" s="6" t="s">
        <v>242</v>
      </c>
      <c r="L2" s="6" t="s">
        <v>208</v>
      </c>
      <c r="M2" s="6" t="s">
        <v>108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2026-09-07T13:22:50Z</dcterms:created>
  <dc:creator>openpyxl</dc:creator>
  <dc:description/>
  <dc:language>en-US</dc:language>
  <cp:lastModifiedBy/>
  <dcterms:modified xsi:type="dcterms:W3CDTF">2026-09-07T13:22:50Z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