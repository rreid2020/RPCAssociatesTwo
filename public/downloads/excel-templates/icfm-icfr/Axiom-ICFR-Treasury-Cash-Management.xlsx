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 &amp; Control Matrix" sheetId="2" state="visible" r:id="rId4"/>
    <sheet name="Control Testing Tracker" sheetId="3" state="visible" r:id="rId5"/>
    <sheet name="Deficiency &amp; Remediation Log" sheetId="4" state="visible" r:id="rId6"/>
    <sheet name="Process Narr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<sst xmlns="http://schemas.openxmlformats.org/spreadsheetml/2006/main" count="325" uniqueCount="250">
  <si>
    <t xml:space="preserve">ICFM / ICFR Template — Treasury &amp; Cash Management</t>
  </si>
  <si>
    <t xml:space="preserve">Internal Controls over Financial Management &amp; Reporting</t>
  </si>
  <si>
    <t xml:space="preserve">How to use this workbook</t>
  </si>
  <si>
    <t xml:space="preserve">This workbook is a starting-point framework for documenting and testing internal controls over financial reporting (ICFR), consistent with the COSO 2013 Internal Control – Integrated Framework and the approach commonly used for SOX Section 404 compliance. It is a template, not legal, audit, or compliance advice — adapt every field to your organization's actual processes, systems, and risk profile before relying on it.</t>
  </si>
  <si>
    <t xml:space="preserve">Tabs in this workbook:</t>
  </si>
  <si>
    <t xml:space="preserve">1. Risk &amp; Control Matrix (RCM) — maps key financial statement risks to the controls that address them, including control owner, type, nature, and frequency.</t>
  </si>
  <si>
    <t xml:space="preserve">2. Control Testing Tracker — documents walkthroughs and operating-effectiveness testing performed for each key control, sample sizes, and conclusions.</t>
  </si>
  <si>
    <t xml:space="preserve">3. Deficiency &amp; Remediation Log — logs control gaps identified through testing, rates severity, and tracks remediation to closure.</t>
  </si>
  <si>
    <t xml:space="preserve">4. Process Narratives — a structured, one-row-per-process write-up of how each in-scope financial process actually operates end to end.</t>
  </si>
  <si>
    <t xml:space="preserve">Color key:</t>
  </si>
  <si>
    <t xml:space="preserve">Yellow-shaded rows are illustrative examples for this industry — replace or extend them with your own facts. Blank rows below each example are ready for your data.</t>
  </si>
  <si>
    <t xml:space="preserve">Example rows below are illustrative starting points based on common risks and leading-practice controls for this process. They are not exhaustive and are not a substitute for a formal risk assessment of your organization's actual systems, materiality, and fraud risk.</t>
  </si>
  <si>
    <t xml:space="preserve">Suggested severity definitions (COSO / AS 2201):</t>
  </si>
  <si>
    <t xml:space="preserve">• Control Deficiency — a control is designed or operating in a way that does not allow management/employees to prevent or detect misstatements on a timely basis.</t>
  </si>
  <si>
    <t xml:space="preserve">• Significant Deficiency — a deficiency, or combination of deficiencies, less severe than a material weakness, yet important enough to merit attention by those responsible for oversight of financial reporting.</t>
  </si>
  <si>
    <t xml:space="preserve">• Material Weakness — a deficiency, or combination of deficiencies, such that there is a reasonable possibility that a material misstatement of the financial statements will not be prevented or detected on a timely basis.</t>
  </si>
  <si>
    <t xml:space="preserve">Process</t>
  </si>
  <si>
    <t xml:space="preserve">Sub-Process</t>
  </si>
  <si>
    <t xml:space="preserve">Risk ID</t>
  </si>
  <si>
    <t xml:space="preserve">Risk Description</t>
  </si>
  <si>
    <t xml:space="preserve">Financial Statement Assertion(s)</t>
  </si>
  <si>
    <t xml:space="preserve">COSO Component</t>
  </si>
  <si>
    <t xml:space="preserve">Control ID</t>
  </si>
  <si>
    <t xml:space="preserve">Control Description</t>
  </si>
  <si>
    <t xml:space="preserve">Control Type
(Preventive/Detective)</t>
  </si>
  <si>
    <t xml:space="preserve">Control Nature
(Manual/Automated/IT-Dependent)</t>
  </si>
  <si>
    <t xml:space="preserve">Frequency</t>
  </si>
  <si>
    <t xml:space="preserve">Control Owner</t>
  </si>
  <si>
    <t xml:space="preserve">Key Control
(Y/N)</t>
  </si>
  <si>
    <t xml:space="preserve">Evidence / Documentation</t>
  </si>
  <si>
    <t xml:space="preserve">Systems / Applications</t>
  </si>
  <si>
    <t xml:space="preserve">Bank Administration</t>
  </si>
  <si>
    <t xml:space="preserve">Bank Account Opening / Closing</t>
  </si>
  <si>
    <t xml:space="preserve">TR-R01</t>
  </si>
  <si>
    <t xml:space="preserve">Bank accounts are opened, closed, or modified without proper authorization, creating unauthorized access to company funds</t>
  </si>
  <si>
    <t xml:space="preserve">Existence/Occurrence</t>
  </si>
  <si>
    <t xml:space="preserve">Control Activities</t>
  </si>
  <si>
    <t xml:space="preserve">TR-C01</t>
  </si>
  <si>
    <t xml:space="preserve">Opening, closing, or modifying signatory authority on bank accounts requires Board or CFO-delegated approval and is logged in a central bank account inventory</t>
  </si>
  <si>
    <t xml:space="preserve">Preventive</t>
  </si>
  <si>
    <t xml:space="preserve">Manual</t>
  </si>
  <si>
    <t xml:space="preserve">Per Event</t>
  </si>
  <si>
    <t xml:space="preserve">Treasurer / CFO</t>
  </si>
  <si>
    <t xml:space="preserve">Y</t>
  </si>
  <si>
    <t xml:space="preserve">Approved bank resolution; bank account inventory</t>
  </si>
  <si>
    <t xml:space="preserve">Corporate Banking Portal</t>
  </si>
  <si>
    <t xml:space="preserve">Cash Disbursements</t>
  </si>
  <si>
    <t xml:space="preserve">Wire Transfer Authorization</t>
  </si>
  <si>
    <t xml:space="preserve">TR-R02</t>
  </si>
  <si>
    <t xml:space="preserve">Unauthorized or fraudulent wire transfers result in loss of company funds</t>
  </si>
  <si>
    <t xml:space="preserve">TR-C02</t>
  </si>
  <si>
    <t xml:space="preserve">Wire transfers above a defined threshold require dual authorization and independent callback verification for new or changed wire instructions before release</t>
  </si>
  <si>
    <t xml:space="preserve">Per Transaction</t>
  </si>
  <si>
    <t xml:space="preserve">Treasury Manager</t>
  </si>
  <si>
    <t xml:space="preserve">Callback log; dual-authorization record</t>
  </si>
  <si>
    <t xml:space="preserve">Positive Pay / Check Fraud Controls</t>
  </si>
  <si>
    <t xml:space="preserve">TR-R03</t>
  </si>
  <si>
    <t xml:space="preserve">Fraudulent or altered checks are honored by the bank, resulting in loss of funds</t>
  </si>
  <si>
    <t xml:space="preserve">TR-C03</t>
  </si>
  <si>
    <t xml:space="preserve">Positive pay (or equivalent check-matching service) is enabled on all disbursement accounts; exceptions flagged by the bank are reviewed and a pay/no-pay decision made by Treasury within the bank's decision window</t>
  </si>
  <si>
    <t xml:space="preserve">Preventive/Detective</t>
  </si>
  <si>
    <t xml:space="preserve">Automated</t>
  </si>
  <si>
    <t xml:space="preserve">Daily</t>
  </si>
  <si>
    <t xml:space="preserve">Positive pay exception log and decisions</t>
  </si>
  <si>
    <t xml:space="preserve">Bank Reconciliation</t>
  </si>
  <si>
    <t xml:space="preserve">Bank-to-GL Reconciliation</t>
  </si>
  <si>
    <t xml:space="preserve">TR-R04</t>
  </si>
  <si>
    <t xml:space="preserve">Cash balances per the bank do not reconcile to the general ledger, masking errors, unauthorized transactions, or fraud</t>
  </si>
  <si>
    <t xml:space="preserve">Existence/Accuracy</t>
  </si>
  <si>
    <t xml:space="preserve">Monitoring Activities</t>
  </si>
  <si>
    <t xml:space="preserve">TR-C04</t>
  </si>
  <si>
    <t xml:space="preserve">All bank accounts are reconciled to the general ledger monthly by an individual independent of cash disbursement processing; reconciliations are reviewed and approved by the Controller</t>
  </si>
  <si>
    <t xml:space="preserve">Detective</t>
  </si>
  <si>
    <t xml:space="preserve">Monthly</t>
  </si>
  <si>
    <t xml:space="preserve">Controller</t>
  </si>
  <si>
    <t xml:space="preserve">Signed bank reconciliation with support</t>
  </si>
  <si>
    <t xml:space="preserve">Corporate Banking Portal, GL</t>
  </si>
  <si>
    <t xml:space="preserve">Cash Forecasting</t>
  </si>
  <si>
    <t xml:space="preserve">Cash Position &amp; Forecasting</t>
  </si>
  <si>
    <t xml:space="preserve">TR-R05</t>
  </si>
  <si>
    <t xml:space="preserve">Cash forecasts do not reflect actual liquidity needs, risking a liquidity shortfall or covenant breach</t>
  </si>
  <si>
    <t xml:space="preserve">Completeness/Accuracy</t>
  </si>
  <si>
    <t xml:space="preserve">TR-C05</t>
  </si>
  <si>
    <t xml:space="preserve">A rolling cash forecast is prepared weekly/monthly, comparing forecast to actual results, with variances investigated and the forecast refined</t>
  </si>
  <si>
    <t xml:space="preserve">Weekly / Monthly</t>
  </si>
  <si>
    <t xml:space="preserve">N</t>
  </si>
  <si>
    <t xml:space="preserve">Cash forecast with actual-to-forecast variance analysis</t>
  </si>
  <si>
    <t xml:space="preserve">Treasury Management System / Spreadsheet Model</t>
  </si>
  <si>
    <t xml:space="preserve">Debt &amp; Covenant Compliance</t>
  </si>
  <si>
    <t xml:space="preserve">Debt Covenant Monitoring</t>
  </si>
  <si>
    <t xml:space="preserve">TR-R06</t>
  </si>
  <si>
    <t xml:space="preserve">Debt covenant compliance is not monitored, resulting in an undetected covenant breach and potential default</t>
  </si>
  <si>
    <t xml:space="preserve">Completeness/Presentation</t>
  </si>
  <si>
    <t xml:space="preserve">TR-C06</t>
  </si>
  <si>
    <t xml:space="preserve">Financial covenants are calculated each reporting period and compared to the credit agreement thresholds; results are reviewed by the CFO and reported to lenders per the agreement</t>
  </si>
  <si>
    <t xml:space="preserve">Quarterly</t>
  </si>
  <si>
    <t xml:space="preserve">CFO</t>
  </si>
  <si>
    <t xml:space="preserve">Covenant compliance calculation and CFO review</t>
  </si>
  <si>
    <t xml:space="preserve">Credit Agreement, Financial Statements</t>
  </si>
  <si>
    <t xml:space="preserve">Investments</t>
  </si>
  <si>
    <t xml:space="preserve">Short-Term Investment of Excess Cash</t>
  </si>
  <si>
    <t xml:space="preserve">TR-R07</t>
  </si>
  <si>
    <t xml:space="preserve">Excess cash is invested outside of board-approved investment policy parameters (issuer, tenor, credit quality), increasing risk</t>
  </si>
  <si>
    <t xml:space="preserve">Existence/Valuation</t>
  </si>
  <si>
    <t xml:space="preserve">TR-C07</t>
  </si>
  <si>
    <t xml:space="preserve">Short-term investments are made only in instruments and issuers approved under the Board-approved investment policy; Treasury reports investment holdings against policy limits quarterly</t>
  </si>
  <si>
    <t xml:space="preserve">Per Transaction / Quarterly</t>
  </si>
  <si>
    <t xml:space="preserve">Treasurer</t>
  </si>
  <si>
    <t xml:space="preserve">Investment policy compliance report</t>
  </si>
  <si>
    <t xml:space="preserve">Investment Management System</t>
  </si>
  <si>
    <t xml:space="preserve">Foreign Exchange</t>
  </si>
  <si>
    <t xml:space="preserve">FX Exposure &amp; Hedging</t>
  </si>
  <si>
    <t xml:space="preserve">TR-R08</t>
  </si>
  <si>
    <t xml:space="preserve">Foreign currency exposure is not identified or hedged consistent with policy, exposing earnings to unmanaged FX risk</t>
  </si>
  <si>
    <t xml:space="preserve">Valuation</t>
  </si>
  <si>
    <t xml:space="preserve">TR-C08</t>
  </si>
  <si>
    <t xml:space="preserve">Significant foreign currency exposures are identified monthly and hedged in accordance with the Board-approved FX risk management policy; hedge effectiveness is reviewed quarterly</t>
  </si>
  <si>
    <t xml:space="preserve">Monthly / Quarterly</t>
  </si>
  <si>
    <t xml:space="preserve">FX exposure report; hedge effectiveness review</t>
  </si>
  <si>
    <t xml:space="preserve">Treasury Management System</t>
  </si>
  <si>
    <t xml:space="preserve">Intercompany Funding</t>
  </si>
  <si>
    <t xml:space="preserve">Intercompany Loans &amp; Cash Pooling</t>
  </si>
  <si>
    <t xml:space="preserve">TR-R09</t>
  </si>
  <si>
    <t xml:space="preserve">Intercompany funding transactions are not properly documented or reconciled, misstating intercompany balances and related interest income/expense</t>
  </si>
  <si>
    <t xml:space="preserve">TR-C09</t>
  </si>
  <si>
    <t xml:space="preserve">Intercompany loans and cash pooling movements are documented with formal agreements/terms and reconciled monthly between participating entities</t>
  </si>
  <si>
    <t xml:space="preserve">Intercompany funding reconciliation</t>
  </si>
  <si>
    <t xml:space="preserve">Treasury Management System, GL</t>
  </si>
  <si>
    <t xml:space="preserve">Segregation of Duties</t>
  </si>
  <si>
    <t xml:space="preserve">Treasury Role Access</t>
  </si>
  <si>
    <t xml:space="preserve">TR-R10</t>
  </si>
  <si>
    <t xml:space="preserve">A single individual can initiate a wire, approve it, and reconcile the related bank account, enabling concealment of misappropriation</t>
  </si>
  <si>
    <t xml:space="preserve">TR-C10</t>
  </si>
  <si>
    <t xml:space="preserve">Banking portal and ERP role-based access enforce segregation between wire initiation, wire approval, and bank reconciliation preparation; access is reviewed quarterly</t>
  </si>
  <si>
    <t xml:space="preserve">IT-Dependent Manual</t>
  </si>
  <si>
    <t xml:space="preserve">IT Security Manager / CFO</t>
  </si>
  <si>
    <t xml:space="preserve">SoD access review report</t>
  </si>
  <si>
    <t xml:space="preserve">Corporate Banking Portal, ERP Role Configuration</t>
  </si>
  <si>
    <t xml:space="preserve">Total Controls Documented:</t>
  </si>
  <si>
    <t xml:space="preserve">Key Controls (Y):</t>
  </si>
  <si>
    <t xml:space="preserve">Test Objective</t>
  </si>
  <si>
    <t xml:space="preserve">Test Procedure</t>
  </si>
  <si>
    <t xml:space="preserve">Sample Size / Methodology</t>
  </si>
  <si>
    <t xml:space="preserve">Testing Period</t>
  </si>
  <si>
    <t xml:space="preserve">Tester</t>
  </si>
  <si>
    <t xml:space="preserve">Test Date</t>
  </si>
  <si>
    <t xml:space="preserve"># Sampled</t>
  </si>
  <si>
    <t xml:space="preserve"># Exceptions</t>
  </si>
  <si>
    <t xml:space="preserve">Exception Description</t>
  </si>
  <si>
    <t xml:space="preserve">Conclusion</t>
  </si>
  <si>
    <t xml:space="preserve">Reviewer</t>
  </si>
  <si>
    <t xml:space="preserve">Review Date</t>
  </si>
  <si>
    <t xml:space="preserve">Dual authorization and callback for wire transfers</t>
  </si>
  <si>
    <t xml:space="preserve">Confirm wires above threshold received dual authorization and callback verification for changed instructions</t>
  </si>
  <si>
    <t xml:space="preserve">Select a sample of outbound wires above threshold; inspect for evidence of dual authorization and, where instructions changed, an independent callback log</t>
  </si>
  <si>
    <t xml:space="preserve">Judgmental, 25 wires</t>
  </si>
  <si>
    <t xml:space="preserve">Q2 2026</t>
  </si>
  <si>
    <t xml:space="preserve">T. Nguyen</t>
  </si>
  <si>
    <t xml:space="preserve">2026-07-15</t>
  </si>
  <si>
    <t xml:space="preserve">Effective</t>
  </si>
  <si>
    <t xml:space="preserve">2026-07-18</t>
  </si>
  <si>
    <t xml:space="preserve">Positive pay exception review</t>
  </si>
  <si>
    <t xml:space="preserve">Confirm positive pay exceptions are reviewed and a timely pay/no-pay decision is made</t>
  </si>
  <si>
    <t xml:space="preserve">Select a sample of positive pay exception days; inspect evidence of Treasury's review and decision within the bank's required window</t>
  </si>
  <si>
    <t xml:space="preserve">Judgmental, 15 exception days</t>
  </si>
  <si>
    <t xml:space="preserve">2026-07-16</t>
  </si>
  <si>
    <t xml:space="preserve">2026-07-19</t>
  </si>
  <si>
    <t xml:space="preserve">Bank-to-GL reconciliation review</t>
  </si>
  <si>
    <t xml:space="preserve">Confirm bank accounts are reconciled monthly and reviewed by someone independent of disbursements</t>
  </si>
  <si>
    <t xml:space="preserve">Select a sample of bank accounts across 2 months; inspect reconciliations for supporting documentation, preparer/reviewer independence, and timely resolution of reconciling items</t>
  </si>
  <si>
    <t xml:space="preserve">Judgmental, 10 account-months</t>
  </si>
  <si>
    <t xml:space="preserve">2026-07-17</t>
  </si>
  <si>
    <t xml:space="preserve">One reconciliation was prepared and reviewed by the same individual due to a temporary staffing gap</t>
  </si>
  <si>
    <t xml:space="preserve">Effective with Exception</t>
  </si>
  <si>
    <t xml:space="preserve">2026-07-20</t>
  </si>
  <si>
    <t xml:space="preserve">Debt covenant compliance calculation</t>
  </si>
  <si>
    <t xml:space="preserve">Confirm covenant calculations are performed each period and reviewed by the CFO</t>
  </si>
  <si>
    <t xml:space="preserve">Recompute the quarterly covenant calculations using the credit agreement definitions and agree to the amounts reported to lenders</t>
  </si>
  <si>
    <t xml:space="preserve">Full population, 1 quarterly cycle</t>
  </si>
  <si>
    <t xml:space="preserve">2026-07-21</t>
  </si>
  <si>
    <t xml:space="preserve">Bank account inventory and authorization</t>
  </si>
  <si>
    <t xml:space="preserve">Confirm all open bank accounts were properly authorized and are reflected in the current signatory inventory</t>
  </si>
  <si>
    <t xml:space="preserve">Obtain the current bank account inventory; agree a sample of accounts to board/CFO approval documentation and confirm signatories are current employees in appropriate roles</t>
  </si>
  <si>
    <t xml:space="preserve">Full population, 12 accounts</t>
  </si>
  <si>
    <t xml:space="preserve">2026-07-22</t>
  </si>
  <si>
    <t xml:space="preserve">Controls Tested:</t>
  </si>
  <si>
    <t xml:space="preserve">Exceptions Noted:</t>
  </si>
  <si>
    <t xml:space="preserve">Controls Concluded Ineffective:</t>
  </si>
  <si>
    <t xml:space="preserve">Deficiency ID</t>
  </si>
  <si>
    <t xml:space="preserve">Related Control ID</t>
  </si>
  <si>
    <t xml:space="preserve">Date Identified</t>
  </si>
  <si>
    <t xml:space="preserve">Deficiency Description</t>
  </si>
  <si>
    <t xml:space="preserve">Root Cause</t>
  </si>
  <si>
    <t xml:space="preserve">Severity</t>
  </si>
  <si>
    <t xml:space="preserve">Financial Statement Impact</t>
  </si>
  <si>
    <t xml:space="preserve">Compensating Controls</t>
  </si>
  <si>
    <t xml:space="preserve">Remediation Plan</t>
  </si>
  <si>
    <t xml:space="preserve">Remediation Owner</t>
  </si>
  <si>
    <t xml:space="preserve">Target Completion Date</t>
  </si>
  <si>
    <t xml:space="preserve">Status</t>
  </si>
  <si>
    <t xml:space="preserve">Retest Date</t>
  </si>
  <si>
    <t xml:space="preserve">Retest Result</t>
  </si>
  <si>
    <t xml:space="preserve">TR-D01</t>
  </si>
  <si>
    <t xml:space="preserve">One operating account's June bank reconciliation was both prepared and reviewed by the same Treasury analyst</t>
  </si>
  <si>
    <t xml:space="preserve">The designated independent reviewer was out on medical leave and no backup reviewer was assigned</t>
  </si>
  <si>
    <t xml:space="preserve">Control Deficiency</t>
  </si>
  <si>
    <t xml:space="preserve">Low - reconciliation was accurate upon subsequent independent re-review</t>
  </si>
  <si>
    <t xml:space="preserve">Monthly cash position summary reviewed by the CFO</t>
  </si>
  <si>
    <t xml:space="preserve">Designate a backup reconciliation reviewer and update the treasury procedures manual to require escalation when the primary reviewer is unavailable</t>
  </si>
  <si>
    <t xml:space="preserve">2026-08-15</t>
  </si>
  <si>
    <t xml:space="preserve">Remediated</t>
  </si>
  <si>
    <t xml:space="preserve">2026-08-05</t>
  </si>
  <si>
    <t xml:space="preserve">Effective - backup reviewer designated and subsequent reconciliations independently reviewed</t>
  </si>
  <si>
    <t xml:space="preserve">TR-D02</t>
  </si>
  <si>
    <t xml:space="preserve">2026-05-20</t>
  </si>
  <si>
    <t xml:space="preserve">Quarterly access review identified one Treasury analyst with both wire initiation and wire approval rights in the banking portal</t>
  </si>
  <si>
    <t xml:space="preserve">The analyst was granted approval rights temporarily during a coverage gap and rights were not revoked afterward</t>
  </si>
  <si>
    <t xml:space="preserve">Significant Deficiency</t>
  </si>
  <si>
    <t xml:space="preserve">Moderate - conflicting access existed for approximately six weeks; investigation found no unauthorized wires</t>
  </si>
  <si>
    <t xml:space="preserve">Daily wire activity is reviewed against the general ledger by the Controller</t>
  </si>
  <si>
    <t xml:space="preserve">Remove approval rights from the analyst's profile, implement a formal temporary-access expiration process in the banking portal, and retest quarterly access reviews</t>
  </si>
  <si>
    <t xml:space="preserve">Treasury Manager / IT Security Manager</t>
  </si>
  <si>
    <t xml:space="preserve">2026-08-10</t>
  </si>
  <si>
    <t xml:space="preserve">Effective - conflicting access removed and expiration process implemented</t>
  </si>
  <si>
    <t xml:space="preserve">Open Items:</t>
  </si>
  <si>
    <t xml:space="preserve">Material Weaknesses Logged:</t>
  </si>
  <si>
    <t xml:space="preserve">Process Name</t>
  </si>
  <si>
    <t xml:space="preserve">Process Owner</t>
  </si>
  <si>
    <t xml:space="preserve">Process Objective</t>
  </si>
  <si>
    <t xml:space="preserve">Process Description (Step-by-Step)</t>
  </si>
  <si>
    <t xml:space="preserve">Systems / Applications Used</t>
  </si>
  <si>
    <t xml:space="preserve">Key Inputs</t>
  </si>
  <si>
    <t xml:space="preserve">Key Outputs</t>
  </si>
  <si>
    <t xml:space="preserve">Related Control ID(s)</t>
  </si>
  <si>
    <t xml:space="preserve">Risks Addressed</t>
  </si>
  <si>
    <t xml:space="preserve">Segregation of Duties Considerations</t>
  </si>
  <si>
    <t xml:space="preserve">Related Policies / Procedures</t>
  </si>
  <si>
    <t xml:space="preserve">Last Reviewed Date</t>
  </si>
  <si>
    <t xml:space="preserve">Reviewed By</t>
  </si>
  <si>
    <t xml:space="preserve">Treasury &amp; Cash Management</t>
  </si>
  <si>
    <t xml:space="preserve">Ensure company cash is safeguarded, disbursements are authorized, liquidity is adequately forecast, and bank activity is properly reconciled and monitored</t>
  </si>
  <si>
    <t xml:space="preserve">1) Bank accounts opened/modified with Board or CFO approval; 2) Cash disbursements (wires, checks, ACH) initiated and independently approved; 3) Positive pay exceptions reviewed daily; 4) Bank accounts reconciled to the GL monthly; 5) Cash position forecast weekly/monthly; 6) Debt covenants calculated and reviewed quarterly; 7) Excess cash invested per policy; 8) FX exposure monitored and hedged per policy</t>
  </si>
  <si>
    <t xml:space="preserve">Corporate Banking Portal, Treasury Management System, ERP General Ledger</t>
  </si>
  <si>
    <t xml:space="preserve">Bank statements, wire requests, credit agreements, cash forecasts</t>
  </si>
  <si>
    <t xml:space="preserve">Bank reconciliations, covenant compliance reports, cash forecasts</t>
  </si>
  <si>
    <t xml:space="preserve">TR-C01 through TR-C08</t>
  </si>
  <si>
    <t xml:space="preserve">Fraudulent disbursement; liquidity shortfall; covenant breach; unmanaged FX/investment risk</t>
  </si>
  <si>
    <t xml:space="preserve">Wire initiation, wire approval, and bank reconciliation preparation are performed by different individuals</t>
  </si>
  <si>
    <t xml:space="preserve">Treasury Policy; Investment Policy; FX Risk Management Policy; Delegation of Authority Matrix</t>
  </si>
  <si>
    <t xml:space="preserve">2026-06-01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</si>
</sst>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olTestingTracker" displayName="ControlTestingTracker" ref="A1:N6" headerRowCount="1" totalsRowCount="0" totalsRowShown="0">
  <autoFilter ref="A1:N6"/>
  <tableColumns count="14">
    <tableColumn id="1" name="Control ID"/>
    <tableColumn id="2" name="Control Description"/>
    <tableColumn id="3" name="Test Objective"/>
    <tableColumn id="4" name="Test Procedure"/>
    <tableColumn id="5" name="Sample Size / Methodology"/>
    <tableColumn id="6" name="Testing Period"/>
    <tableColumn id="7" name="Tester"/>
    <tableColumn id="8" name="Test Date"/>
    <tableColumn id="9" name="# Sampled"/>
    <tableColumn id="10" name="# Exceptions"/>
    <tableColumn id="11" name="Exception Description"/>
    <tableColumn id="12" name="Conclusion"/>
    <tableColumn id="13" name="Reviewer"/>
    <tableColumn id="14" name="Review Date"/>
  </tableColumns>
</table>
</file>

<file path=xl/tables/table2.xml><?xml version="1.0" encoding="utf-8"?>
<table xmlns="http://schemas.openxmlformats.org/spreadsheetml/2006/main" id="2" name="DeficiencyLog" displayName="DeficiencyLog" ref="A1:N3" headerRowCount="1" totalsRowCount="0" totalsRowShown="0">
  <autoFilter ref="A1:N3"/>
  <tableColumns count="14">
    <tableColumn id="1" name="Deficiency ID"/>
    <tableColumn id="2" name="Related Control ID"/>
    <tableColumn id="3" name="Date Identified"/>
    <tableColumn id="4" name="Deficiency Description"/>
    <tableColumn id="5" name="Root Cause"/>
    <tableColumn id="6" name="Severity"/>
    <tableColumn id="7" name="Financial Statement Impact"/>
    <tableColumn id="8" name="Compensating Controls"/>
    <tableColumn id="9" name="Remediation Plan"/>
    <tableColumn id="10" name="Remediation Owner"/>
    <tableColumn id="11" name="Target Completion Date"/>
    <tableColumn id="12" name="Status"/>
    <tableColumn id="13" name="Retest Date"/>
    <tableColumn id="14" name="Retest Result"/>
  </tableColumns>
</table>
</file>

<file path=xl/tables/table3.xml><?xml version="1.0" encoding="utf-8"?>
<table xmlns="http://schemas.openxmlformats.org/spreadsheetml/2006/main" id="3" name="ProcessNarratives" displayName="ProcessNarratives" ref="A1:M2" headerRowCount="1" totalsRowCount="0" totalsRowShown="0">
  <autoFilter ref="A1:M2"/>
  <tableColumns count="13">
    <tableColumn id="1" name="Process Name"/>
    <tableColumn id="2" name="Process Owner"/>
    <tableColumn id="3" name="Process Objective"/>
    <tableColumn id="4" name="Process Description (Step-by-Step)"/>
    <tableColumn id="5" name="Systems / Applications Used"/>
    <tableColumn id="6" name="Key Inputs"/>
    <tableColumn id="7" name="Key Outputs"/>
    <tableColumn id="8" name="Related Control ID(s)"/>
    <tableColumn id="9" name="Risks Addressed"/>
    <tableColumn id="10" name="Segregation of Duties Considerations"/>
    <tableColumn id="11" name="Related Policies / Procedures"/>
    <tableColumn id="12" name="Last Reviewed Date"/>
    <tableColumn id="13" name="Reviewed By"/>
  </tableColumns>
</table>
</file>

<file path=xl/tables/table4.xml><?xml version="1.0" encoding="utf-8"?>
<table xmlns="http://schemas.openxmlformats.org/spreadsheetml/2006/main" id="4" name="RiskControlMatrix" displayName="RiskControlMatrix" ref="A1:O11" headerRowCount="1" totalsRowCount="0" totalsRowShown="0">
  <autoFilter ref="A1:O11"/>
  <tableColumns count="15">
    <tableColumn id="1" name="Process"/>
    <tableColumn id="2" name="Sub-Process"/>
    <tableColumn id="3" name="Risk ID"/>
    <tableColumn id="4" name="Risk Description"/>
    <tableColumn id="5" name="Financial Statement Assertion(s)"/>
    <tableColumn id="6" name="COSO Component"/>
    <tableColumn id="7" name="Control ID"/>
    <tableColumn id="8" name="Control Description"/>
    <tableColumn id="9" name="Control Type&#10;(Preventive/Detective)"/>
    <tableColumn id="10" name="Control Nature&#10;(Manual/Automated/IT-Dependent)"/>
    <tableColumn id="11" name="Frequency"/>
    <tableColumn id="12" name="Control Owner"/>
    <tableColumn id="13" name="Key Control&#10;(Y/N)"/>
    <tableColumn id="14" name="Evidence / Documentation"/>
    <tableColumn id="15" name="Systems / Applic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</row>
    <row r="10" customFormat="false" ht="45" hidden="false" customHeight="true" outlineLevel="0" collapsed="false">
      <c r="B10" s="4" t="s">
        <v>6</v>
      </c>
    </row>
    <row r="11" customFormat="false" ht="45" hidden="false" customHeight="true" outlineLevel="0" collapsed="false">
      <c r="B11" s="4" t="s">
        <v>7</v>
      </c>
    </row>
    <row r="12" customFormat="false" ht="45" hidden="false" customHeight="true" outlineLevel="0" collapsed="false">
      <c r="B12" s="4" t="s">
        <v>8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9</v>
      </c>
    </row>
    <row r="15" customFormat="false" ht="45" hidden="false" customHeight="true" outlineLevel="0" collapsed="false">
      <c r="B15" s="4" t="s">
        <v>10</v>
      </c>
    </row>
    <row r="16" customFormat="false" ht="15" hidden="false" customHeight="false" outlineLevel="0" collapsed="false">
      <c r="B16" s="4"/>
    </row>
    <row r="17" customFormat="false" ht="45" hidden="false" customHeight="true" outlineLevel="0" collapsed="false">
      <c r="B17" s="4" t="s">
        <v>11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23.85" hidden="false" customHeight="false" outlineLevel="0" collapsed="false">
      <c r="B21" s="4" t="s">
        <v>14</v>
      </c>
    </row>
    <row r="22" customFormat="false" ht="23.85" hidden="false" customHeight="fals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46.25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</row>
    <row r="3" customFormat="false" ht="46.25" hidden="false" customHeight="false" outlineLevel="0" collapsed="false">
      <c r="A3" s="6" t="s">
        <v>46</v>
      </c>
      <c r="B3" s="6" t="s">
        <v>47</v>
      </c>
      <c r="C3" s="6" t="s">
        <v>48</v>
      </c>
      <c r="D3" s="6" t="s">
        <v>49</v>
      </c>
      <c r="E3" s="6" t="s">
        <v>35</v>
      </c>
      <c r="F3" s="6" t="s">
        <v>36</v>
      </c>
      <c r="G3" s="6" t="s">
        <v>50</v>
      </c>
      <c r="H3" s="6" t="s">
        <v>51</v>
      </c>
      <c r="I3" s="6" t="s">
        <v>39</v>
      </c>
      <c r="J3" s="6" t="s">
        <v>40</v>
      </c>
      <c r="K3" s="6" t="s">
        <v>52</v>
      </c>
      <c r="L3" s="6" t="s">
        <v>53</v>
      </c>
      <c r="M3" s="6" t="s">
        <v>43</v>
      </c>
      <c r="N3" s="6" t="s">
        <v>54</v>
      </c>
      <c r="O3" s="6" t="s">
        <v>45</v>
      </c>
    </row>
    <row r="4" customFormat="false" ht="57.45" hidden="false" customHeight="false" outlineLevel="0" collapsed="false">
      <c r="A4" s="6" t="s">
        <v>46</v>
      </c>
      <c r="B4" s="6" t="s">
        <v>55</v>
      </c>
      <c r="C4" s="6" t="s">
        <v>56</v>
      </c>
      <c r="D4" s="6" t="s">
        <v>57</v>
      </c>
      <c r="E4" s="6" t="s">
        <v>35</v>
      </c>
      <c r="F4" s="6" t="s">
        <v>36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53</v>
      </c>
      <c r="M4" s="6" t="s">
        <v>43</v>
      </c>
      <c r="N4" s="6" t="s">
        <v>63</v>
      </c>
      <c r="O4" s="6" t="s">
        <v>45</v>
      </c>
    </row>
    <row r="5" customFormat="false" ht="46.25" hidden="false" customHeight="false" outlineLevel="0" collapsed="false">
      <c r="A5" s="6" t="s">
        <v>64</v>
      </c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70</v>
      </c>
      <c r="H5" s="6" t="s">
        <v>71</v>
      </c>
      <c r="I5" s="6" t="s">
        <v>72</v>
      </c>
      <c r="J5" s="6" t="s">
        <v>40</v>
      </c>
      <c r="K5" s="6" t="s">
        <v>73</v>
      </c>
      <c r="L5" s="6" t="s">
        <v>74</v>
      </c>
      <c r="M5" s="6" t="s">
        <v>43</v>
      </c>
      <c r="N5" s="6" t="s">
        <v>75</v>
      </c>
      <c r="O5" s="6" t="s">
        <v>76</v>
      </c>
    </row>
    <row r="6" customFormat="false" ht="35.05" hidden="false" customHeight="false" outlineLevel="0" collapsed="false">
      <c r="A6" s="6" t="s">
        <v>77</v>
      </c>
      <c r="B6" s="6" t="s">
        <v>78</v>
      </c>
      <c r="C6" s="6" t="s">
        <v>79</v>
      </c>
      <c r="D6" s="6" t="s">
        <v>80</v>
      </c>
      <c r="E6" s="6" t="s">
        <v>81</v>
      </c>
      <c r="F6" s="6" t="s">
        <v>69</v>
      </c>
      <c r="G6" s="6" t="s">
        <v>82</v>
      </c>
      <c r="H6" s="6" t="s">
        <v>83</v>
      </c>
      <c r="I6" s="6" t="s">
        <v>72</v>
      </c>
      <c r="J6" s="6" t="s">
        <v>40</v>
      </c>
      <c r="K6" s="6" t="s">
        <v>84</v>
      </c>
      <c r="L6" s="6" t="s">
        <v>53</v>
      </c>
      <c r="M6" s="6" t="s">
        <v>85</v>
      </c>
      <c r="N6" s="6" t="s">
        <v>86</v>
      </c>
      <c r="O6" s="6" t="s">
        <v>87</v>
      </c>
    </row>
    <row r="7" customFormat="false" ht="57.45" hidden="false" customHeight="false" outlineLevel="0" collapsed="false">
      <c r="A7" s="6" t="s">
        <v>88</v>
      </c>
      <c r="B7" s="6" t="s">
        <v>89</v>
      </c>
      <c r="C7" s="6" t="s">
        <v>90</v>
      </c>
      <c r="D7" s="6" t="s">
        <v>91</v>
      </c>
      <c r="E7" s="6" t="s">
        <v>92</v>
      </c>
      <c r="F7" s="6" t="s">
        <v>69</v>
      </c>
      <c r="G7" s="6" t="s">
        <v>93</v>
      </c>
      <c r="H7" s="6" t="s">
        <v>94</v>
      </c>
      <c r="I7" s="6" t="s">
        <v>72</v>
      </c>
      <c r="J7" s="6" t="s">
        <v>95</v>
      </c>
      <c r="K7" s="6" t="s">
        <v>96</v>
      </c>
      <c r="L7" s="6" t="s">
        <v>43</v>
      </c>
      <c r="M7" s="6" t="s">
        <v>97</v>
      </c>
      <c r="N7" s="6" t="s">
        <v>98</v>
      </c>
    </row>
    <row r="8" customFormat="false" ht="46.25" hidden="false" customHeight="false" outlineLevel="0" collapsed="false">
      <c r="A8" s="6" t="s">
        <v>99</v>
      </c>
      <c r="B8" s="6" t="s">
        <v>100</v>
      </c>
      <c r="C8" s="6" t="s">
        <v>101</v>
      </c>
      <c r="D8" s="6" t="s">
        <v>102</v>
      </c>
      <c r="E8" s="6" t="s">
        <v>103</v>
      </c>
      <c r="F8" s="6" t="s">
        <v>36</v>
      </c>
      <c r="G8" s="6" t="s">
        <v>104</v>
      </c>
      <c r="H8" s="6" t="s">
        <v>105</v>
      </c>
      <c r="I8" s="6" t="s">
        <v>60</v>
      </c>
      <c r="J8" s="6" t="s">
        <v>40</v>
      </c>
      <c r="K8" s="6" t="s">
        <v>106</v>
      </c>
      <c r="L8" s="6" t="s">
        <v>107</v>
      </c>
      <c r="M8" s="6" t="s">
        <v>85</v>
      </c>
      <c r="N8" s="6" t="s">
        <v>108</v>
      </c>
      <c r="O8" s="6" t="s">
        <v>109</v>
      </c>
    </row>
    <row r="9" customFormat="false" ht="46.25" hidden="false" customHeight="false" outlineLevel="0" collapsed="false">
      <c r="A9" s="6" t="s">
        <v>110</v>
      </c>
      <c r="B9" s="6" t="s">
        <v>111</v>
      </c>
      <c r="C9" s="6" t="s">
        <v>112</v>
      </c>
      <c r="D9" s="6" t="s">
        <v>113</v>
      </c>
      <c r="E9" s="6" t="s">
        <v>114</v>
      </c>
      <c r="F9" s="6" t="s">
        <v>36</v>
      </c>
      <c r="G9" s="6" t="s">
        <v>115</v>
      </c>
      <c r="H9" s="6" t="s">
        <v>116</v>
      </c>
      <c r="I9" s="6" t="s">
        <v>72</v>
      </c>
      <c r="J9" s="6" t="s">
        <v>40</v>
      </c>
      <c r="K9" s="6" t="s">
        <v>117</v>
      </c>
      <c r="L9" s="6" t="s">
        <v>107</v>
      </c>
      <c r="M9" s="6" t="s">
        <v>85</v>
      </c>
      <c r="N9" s="6" t="s">
        <v>118</v>
      </c>
      <c r="O9" s="6" t="s">
        <v>119</v>
      </c>
    </row>
    <row r="10" customFormat="false" ht="46.25" hidden="false" customHeight="false" outlineLevel="0" collapsed="false">
      <c r="A10" s="6" t="s">
        <v>120</v>
      </c>
      <c r="B10" s="6" t="s">
        <v>121</v>
      </c>
      <c r="C10" s="6" t="s">
        <v>122</v>
      </c>
      <c r="D10" s="6" t="s">
        <v>123</v>
      </c>
      <c r="E10" s="6" t="s">
        <v>68</v>
      </c>
      <c r="F10" s="6" t="s">
        <v>36</v>
      </c>
      <c r="G10" s="6" t="s">
        <v>124</v>
      </c>
      <c r="H10" s="6" t="s">
        <v>125</v>
      </c>
      <c r="I10" s="6" t="s">
        <v>72</v>
      </c>
      <c r="J10" s="6" t="s">
        <v>40</v>
      </c>
      <c r="K10" s="6" t="s">
        <v>73</v>
      </c>
      <c r="L10" s="6" t="s">
        <v>53</v>
      </c>
      <c r="M10" s="6" t="s">
        <v>85</v>
      </c>
      <c r="N10" s="6" t="s">
        <v>126</v>
      </c>
      <c r="O10" s="6" t="s">
        <v>127</v>
      </c>
    </row>
    <row r="11" customFormat="false" ht="46.25" hidden="false" customHeight="false" outlineLevel="0" collapsed="false">
      <c r="A11" s="6" t="s">
        <v>128</v>
      </c>
      <c r="B11" s="6" t="s">
        <v>129</v>
      </c>
      <c r="C11" s="6" t="s">
        <v>130</v>
      </c>
      <c r="D11" s="6" t="s">
        <v>131</v>
      </c>
      <c r="E11" s="6" t="s">
        <v>35</v>
      </c>
      <c r="F11" s="6" t="s">
        <v>36</v>
      </c>
      <c r="G11" s="6" t="s">
        <v>132</v>
      </c>
      <c r="H11" s="6" t="s">
        <v>133</v>
      </c>
      <c r="I11" s="6" t="s">
        <v>39</v>
      </c>
      <c r="J11" s="6" t="s">
        <v>134</v>
      </c>
      <c r="K11" s="6" t="s">
        <v>95</v>
      </c>
      <c r="L11" s="6" t="s">
        <v>135</v>
      </c>
      <c r="M11" s="6" t="s">
        <v>43</v>
      </c>
      <c r="N11" s="6" t="s">
        <v>136</v>
      </c>
      <c r="O11" s="6" t="s">
        <v>137</v>
      </c>
    </row>
    <row r="13" customFormat="false" ht="15" hidden="false" customHeight="false" outlineLevel="0" collapsed="false">
      <c r="A13" s="7" t="s">
        <v>138</v>
      </c>
      <c r="B13" s="7" t="n">
        <f aca="false">COUNTA(A2:A11)-COUNTBLANK(A2:A11)</f>
        <v>10</v>
      </c>
    </row>
    <row r="14" customFormat="false" ht="15" hidden="false" customHeight="false" outlineLevel="0" collapsed="false">
      <c r="A14" s="7" t="s">
        <v>139</v>
      </c>
      <c r="B14" s="7" t="n">
        <f aca="false">COUNTIF(M2:M11,"Y")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140</v>
      </c>
      <c r="D1" s="5" t="s">
        <v>141</v>
      </c>
      <c r="E1" s="5" t="s">
        <v>142</v>
      </c>
      <c r="F1" s="5" t="s">
        <v>143</v>
      </c>
      <c r="G1" s="5" t="s">
        <v>144</v>
      </c>
      <c r="H1" s="5" t="s">
        <v>145</v>
      </c>
      <c r="I1" s="5" t="s">
        <v>146</v>
      </c>
      <c r="J1" s="5" t="s">
        <v>147</v>
      </c>
      <c r="K1" s="5" t="s">
        <v>148</v>
      </c>
      <c r="L1" s="5" t="s">
        <v>149</v>
      </c>
      <c r="M1" s="5" t="s">
        <v>150</v>
      </c>
      <c r="N1" s="5" t="s">
        <v>151</v>
      </c>
    </row>
    <row r="2" customFormat="false" ht="46.25" hidden="false" customHeight="false" outlineLevel="0" collapsed="false">
      <c r="A2" s="6" t="s">
        <v>50</v>
      </c>
      <c r="B2" s="6" t="s">
        <v>152</v>
      </c>
      <c r="C2" s="6" t="s">
        <v>153</v>
      </c>
      <c r="D2" s="6" t="s">
        <v>154</v>
      </c>
      <c r="E2" s="6" t="s">
        <v>155</v>
      </c>
      <c r="F2" s="6" t="s">
        <v>156</v>
      </c>
      <c r="G2" s="6" t="s">
        <v>157</v>
      </c>
      <c r="H2" s="6" t="s">
        <v>158</v>
      </c>
      <c r="I2" s="6" t="n">
        <v>25</v>
      </c>
      <c r="J2" s="6" t="n">
        <v>0</v>
      </c>
      <c r="K2" s="6"/>
      <c r="L2" s="6" t="s">
        <v>159</v>
      </c>
      <c r="M2" s="6" t="s">
        <v>53</v>
      </c>
      <c r="N2" s="6" t="s">
        <v>160</v>
      </c>
    </row>
    <row r="3" customFormat="false" ht="46.25" hidden="false" customHeight="false" outlineLevel="0" collapsed="false">
      <c r="A3" s="6" t="s">
        <v>58</v>
      </c>
      <c r="B3" s="6" t="s">
        <v>161</v>
      </c>
      <c r="C3" s="6" t="s">
        <v>162</v>
      </c>
      <c r="D3" s="6" t="s">
        <v>163</v>
      </c>
      <c r="E3" s="6" t="s">
        <v>164</v>
      </c>
      <c r="F3" s="6" t="s">
        <v>156</v>
      </c>
      <c r="G3" s="6" t="s">
        <v>157</v>
      </c>
      <c r="H3" s="6" t="s">
        <v>165</v>
      </c>
      <c r="I3" s="6" t="n">
        <v>15</v>
      </c>
      <c r="J3" s="6" t="n">
        <v>0</v>
      </c>
      <c r="K3" s="6"/>
      <c r="L3" s="6" t="s">
        <v>159</v>
      </c>
      <c r="M3" s="6" t="s">
        <v>53</v>
      </c>
      <c r="N3" s="6" t="s">
        <v>166</v>
      </c>
    </row>
    <row r="4" customFormat="false" ht="57.45" hidden="false" customHeight="false" outlineLevel="0" collapsed="false">
      <c r="A4" s="6" t="s">
        <v>70</v>
      </c>
      <c r="B4" s="6" t="s">
        <v>167</v>
      </c>
      <c r="C4" s="6" t="s">
        <v>168</v>
      </c>
      <c r="D4" s="6" t="s">
        <v>169</v>
      </c>
      <c r="E4" s="6" t="s">
        <v>170</v>
      </c>
      <c r="F4" s="6" t="s">
        <v>156</v>
      </c>
      <c r="G4" s="6" t="s">
        <v>157</v>
      </c>
      <c r="H4" s="6" t="s">
        <v>171</v>
      </c>
      <c r="I4" s="6" t="n">
        <v>10</v>
      </c>
      <c r="J4" s="6" t="n">
        <v>1</v>
      </c>
      <c r="K4" s="6" t="s">
        <v>172</v>
      </c>
      <c r="L4" s="6" t="s">
        <v>173</v>
      </c>
      <c r="M4" s="6" t="s">
        <v>74</v>
      </c>
      <c r="N4" s="6" t="s">
        <v>174</v>
      </c>
    </row>
    <row r="5" customFormat="false" ht="46.25" hidden="false" customHeight="false" outlineLevel="0" collapsed="false">
      <c r="A5" s="6" t="s">
        <v>93</v>
      </c>
      <c r="B5" s="6" t="s">
        <v>175</v>
      </c>
      <c r="C5" s="6" t="s">
        <v>176</v>
      </c>
      <c r="D5" s="6" t="s">
        <v>177</v>
      </c>
      <c r="E5" s="6" t="s">
        <v>178</v>
      </c>
      <c r="F5" s="6" t="s">
        <v>156</v>
      </c>
      <c r="G5" s="6" t="s">
        <v>157</v>
      </c>
      <c r="H5" s="6" t="s">
        <v>160</v>
      </c>
      <c r="I5" s="6" t="n">
        <v>1</v>
      </c>
      <c r="J5" s="6" t="n">
        <v>0</v>
      </c>
      <c r="K5" s="6"/>
      <c r="L5" s="6" t="s">
        <v>159</v>
      </c>
      <c r="M5" s="6" t="s">
        <v>96</v>
      </c>
      <c r="N5" s="6" t="s">
        <v>179</v>
      </c>
    </row>
    <row r="6" customFormat="false" ht="57.45" hidden="false" customHeight="false" outlineLevel="0" collapsed="false">
      <c r="A6" s="6" t="s">
        <v>37</v>
      </c>
      <c r="B6" s="6" t="s">
        <v>180</v>
      </c>
      <c r="C6" s="6" t="s">
        <v>181</v>
      </c>
      <c r="D6" s="6" t="s">
        <v>182</v>
      </c>
      <c r="E6" s="6" t="s">
        <v>183</v>
      </c>
      <c r="F6" s="6" t="s">
        <v>156</v>
      </c>
      <c r="G6" s="6" t="s">
        <v>157</v>
      </c>
      <c r="H6" s="6" t="s">
        <v>166</v>
      </c>
      <c r="I6" s="6" t="n">
        <v>12</v>
      </c>
      <c r="J6" s="6" t="n">
        <v>0</v>
      </c>
      <c r="K6" s="6"/>
      <c r="L6" s="6" t="s">
        <v>159</v>
      </c>
      <c r="M6" s="6" t="s">
        <v>96</v>
      </c>
      <c r="N6" s="6" t="s">
        <v>184</v>
      </c>
    </row>
    <row r="8" customFormat="false" ht="15" hidden="false" customHeight="false" outlineLevel="0" collapsed="false">
      <c r="A8" s="7" t="s">
        <v>185</v>
      </c>
      <c r="B8" s="7" t="n">
        <f aca="false">COUNTA(A2:A6)</f>
        <v>5</v>
      </c>
    </row>
    <row r="9" customFormat="false" ht="15" hidden="false" customHeight="false" outlineLevel="0" collapsed="false">
      <c r="A9" s="7" t="s">
        <v>186</v>
      </c>
      <c r="B9" s="7" t="n">
        <f aca="false">SUM(J2:J6)</f>
        <v>1</v>
      </c>
    </row>
    <row r="10" customFormat="false" ht="15" hidden="false" customHeight="false" outlineLevel="0" collapsed="false">
      <c r="A10" s="7" t="s">
        <v>187</v>
      </c>
      <c r="B10" s="7" t="n">
        <f aca="false">COUNTIF(L2:L6,"Ineffective")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4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5" t="s">
        <v>188</v>
      </c>
      <c r="B1" s="5" t="s">
        <v>189</v>
      </c>
      <c r="C1" s="5" t="s">
        <v>190</v>
      </c>
      <c r="D1" s="5" t="s">
        <v>191</v>
      </c>
      <c r="E1" s="5" t="s">
        <v>192</v>
      </c>
      <c r="F1" s="5" t="s">
        <v>193</v>
      </c>
      <c r="G1" s="5" t="s">
        <v>194</v>
      </c>
      <c r="H1" s="5" t="s">
        <v>195</v>
      </c>
      <c r="I1" s="5" t="s">
        <v>196</v>
      </c>
      <c r="J1" s="5" t="s">
        <v>197</v>
      </c>
      <c r="K1" s="5" t="s">
        <v>198</v>
      </c>
      <c r="L1" s="5" t="s">
        <v>199</v>
      </c>
      <c r="M1" s="5" t="s">
        <v>200</v>
      </c>
      <c r="N1" s="5" t="s">
        <v>201</v>
      </c>
    </row>
    <row r="2" customFormat="false" ht="79.85" hidden="false" customHeight="false" outlineLevel="0" collapsed="false">
      <c r="A2" s="6" t="s">
        <v>202</v>
      </c>
      <c r="B2" s="6" t="s">
        <v>70</v>
      </c>
      <c r="C2" s="6" t="s">
        <v>171</v>
      </c>
      <c r="D2" s="6" t="s">
        <v>203</v>
      </c>
      <c r="E2" s="6" t="s">
        <v>204</v>
      </c>
      <c r="F2" s="6" t="s">
        <v>205</v>
      </c>
      <c r="G2" s="6" t="s">
        <v>206</v>
      </c>
      <c r="H2" s="6" t="s">
        <v>207</v>
      </c>
      <c r="I2" s="6" t="s">
        <v>208</v>
      </c>
      <c r="J2" s="6" t="s">
        <v>74</v>
      </c>
      <c r="K2" s="6" t="s">
        <v>209</v>
      </c>
      <c r="L2" s="6" t="s">
        <v>210</v>
      </c>
      <c r="M2" s="6" t="s">
        <v>211</v>
      </c>
      <c r="N2" s="6" t="s">
        <v>212</v>
      </c>
    </row>
    <row r="3" customFormat="false" ht="57.45" hidden="false" customHeight="false" outlineLevel="0" collapsed="false">
      <c r="A3" s="6" t="s">
        <v>213</v>
      </c>
      <c r="B3" s="6" t="s">
        <v>132</v>
      </c>
      <c r="C3" s="6" t="s">
        <v>214</v>
      </c>
      <c r="D3" s="6" t="s">
        <v>215</v>
      </c>
      <c r="E3" s="6" t="s">
        <v>216</v>
      </c>
      <c r="F3" s="6" t="s">
        <v>217</v>
      </c>
      <c r="G3" s="6" t="s">
        <v>218</v>
      </c>
      <c r="H3" s="6" t="s">
        <v>219</v>
      </c>
      <c r="I3" s="6" t="s">
        <v>220</v>
      </c>
      <c r="J3" s="6" t="s">
        <v>221</v>
      </c>
      <c r="K3" s="6" t="s">
        <v>209</v>
      </c>
      <c r="L3" s="6" t="s">
        <v>210</v>
      </c>
      <c r="M3" s="6" t="s">
        <v>222</v>
      </c>
      <c r="N3" s="6" t="s">
        <v>223</v>
      </c>
    </row>
    <row r="5" customFormat="false" ht="15" hidden="false" customHeight="false" outlineLevel="0" collapsed="false">
      <c r="A5" s="7" t="s">
        <v>224</v>
      </c>
      <c r="B5" s="7" t="n">
        <f aca="false">COUNTIF(L2:L3,"Open")+COUNTIF(L2:L3,"In Progress")</f>
        <v>0</v>
      </c>
    </row>
    <row r="6" customFormat="false" ht="15" hidden="false" customHeight="false" outlineLevel="0" collapsed="false">
      <c r="A6" s="7" t="s">
        <v>225</v>
      </c>
      <c r="B6" s="7" t="n">
        <f aca="false">COUNTIF(F2:F3,"Material Weakness")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20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3" min="12" style="0" width="14"/>
  </cols>
  <sheetData>
    <row r="1" customFormat="false" ht="30" hidden="false" customHeight="true" outlineLevel="0" collapsed="false">
      <c r="A1" s="5" t="s">
        <v>226</v>
      </c>
      <c r="B1" s="5" t="s">
        <v>227</v>
      </c>
      <c r="C1" s="5" t="s">
        <v>228</v>
      </c>
      <c r="D1" s="5" t="s">
        <v>229</v>
      </c>
      <c r="E1" s="5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</row>
    <row r="2" customFormat="false" ht="102.2" hidden="false" customHeight="false" outlineLevel="0" collapsed="false">
      <c r="A2" s="6" t="s">
        <v>239</v>
      </c>
      <c r="B2" s="6" t="s">
        <v>42</v>
      </c>
      <c r="C2" s="6" t="s">
        <v>240</v>
      </c>
      <c r="D2" s="6" t="s">
        <v>241</v>
      </c>
      <c r="E2" s="6" t="s">
        <v>242</v>
      </c>
      <c r="F2" s="6" t="s">
        <v>243</v>
      </c>
      <c r="G2" s="6" t="s">
        <v>244</v>
      </c>
      <c r="H2" s="6" t="s">
        <v>245</v>
      </c>
      <c r="I2" s="6" t="s">
        <v>246</v>
      </c>
      <c r="J2" s="6" t="s">
        <v>247</v>
      </c>
      <c r="K2" s="6" t="s">
        <v>248</v>
      </c>
      <c r="L2" s="6" t="s">
        <v>249</v>
      </c>
      <c r="M2" s="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2026-09-07T13:22:51Z</dcterms:created>
  <dc:creator>openpyxl</dc:creator>
  <dc:description/>
  <dc:language>en-US</dc:language>
  <cp:lastModifiedBy/>
  <dcterms:modified xsi:type="dcterms:W3CDTF">2026-09-07T13:22:51Z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